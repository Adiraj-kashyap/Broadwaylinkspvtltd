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01 BLPL\"/>
    </mc:Choice>
  </mc:AlternateContent>
  <xr:revisionPtr revIDLastSave="0" documentId="13_ncr:1_{70E0F715-8069-48E8-882D-D99541F1665E}" xr6:coauthVersionLast="47" xr6:coauthVersionMax="47" xr10:uidLastSave="{00000000-0000-0000-0000-000000000000}"/>
  <bookViews>
    <workbookView xWindow="-93" yWindow="-93" windowWidth="19386" windowHeight="11466" tabRatio="800" activeTab="4" xr2:uid="{52067F25-AC61-43E9-8EDB-1A87E48753BF}"/>
  </bookViews>
  <sheets>
    <sheet name="QUALIFICATION INFORMATION" sheetId="1" r:id="rId1"/>
    <sheet name="EPC" sheetId="4" r:id="rId2"/>
    <sheet name="TECHNICAL" sheetId="2" r:id="rId3"/>
    <sheet name="peak qty" sheetId="7" r:id="rId4"/>
    <sheet name="FINANCIAL" sheetId="3" r:id="rId5"/>
    <sheet name="BLPL QTY 25122025" sheetId="6" r:id="rId6"/>
    <sheet name="WEBSITE" sheetId="5" r:id="rId7"/>
    <sheet name="HSE" sheetId="9"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s>
  <definedNames>
    <definedName name="\0">#REF!</definedName>
    <definedName name="\1">#REF!</definedName>
    <definedName name="\123" hidden="1">'[1]Basic Rate'!#REF!</definedName>
    <definedName name="\1234" hidden="1">'[1]Basic Rate'!#REF!</definedName>
    <definedName name="\12345" hidden="1">'[1]Basic Rate'!#REF!</definedName>
    <definedName name="\a">#REF!</definedName>
    <definedName name="\AA">'[2]Rate Analysis'!#REF!</definedName>
    <definedName name="\b">#N/A</definedName>
    <definedName name="\c">#REF!</definedName>
    <definedName name="\CC">'[2]Rate Analysis'!#REF!</definedName>
    <definedName name="\d">#REF!</definedName>
    <definedName name="\d\srh.xls">[3]ANAL!#REF!</definedName>
    <definedName name="\E">#REF!</definedName>
    <definedName name="\f">#REF!</definedName>
    <definedName name="\h">#REF!</definedName>
    <definedName name="\i">#REF!</definedName>
    <definedName name="\j">#REF!</definedName>
    <definedName name="\k">#REF!</definedName>
    <definedName name="\L">'[4]Q&amp;pl-V'!#REF!</definedName>
    <definedName name="\m">#REF!</definedName>
    <definedName name="\n">#REF!</definedName>
    <definedName name="\O">#REF!</definedName>
    <definedName name="\OO">'[2]Rate Analysis'!#REF!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y">#REF!</definedName>
    <definedName name="\z">#REF!</definedName>
    <definedName name="_">#REF!</definedName>
    <definedName name="________________________can435">43.3</definedName>
    <definedName name="_______________________can430">40.73</definedName>
    <definedName name="_______________________can435">43.3</definedName>
    <definedName name="______________________can430">40.73</definedName>
    <definedName name="______________________can435">43.3</definedName>
    <definedName name="_____________________can430">40.73</definedName>
    <definedName name="_____________________can435">43.3</definedName>
    <definedName name="____________________can430">40.73</definedName>
    <definedName name="____________________can435">43.3</definedName>
    <definedName name="___________________can430">40.73</definedName>
    <definedName name="___________________can435">43.3</definedName>
    <definedName name="__________________can430">40.73</definedName>
    <definedName name="__________________can435">43.3</definedName>
    <definedName name="_________________can430">40.73</definedName>
    <definedName name="_________________can435">43.3</definedName>
    <definedName name="________________can430">40.73</definedName>
    <definedName name="________________can435">43.3</definedName>
    <definedName name="_______________act1">#REF!</definedName>
    <definedName name="_______________can430">40.73</definedName>
    <definedName name="_______________can435">43.3</definedName>
    <definedName name="______________can430">40.73</definedName>
    <definedName name="______________can435">43.3</definedName>
    <definedName name="______________exc1">#REF!</definedName>
    <definedName name="______________exc2">#REF!</definedName>
    <definedName name="_____________act1">#REF!</definedName>
    <definedName name="_____________can430">40.73</definedName>
    <definedName name="_____________can435">43.3</definedName>
    <definedName name="_____________exc1">#REF!</definedName>
    <definedName name="_____________exc2">#REF!</definedName>
    <definedName name="_____________SMG1">#N/A</definedName>
    <definedName name="_____________SMG2">#N/A</definedName>
    <definedName name="____________act1">#REF!</definedName>
    <definedName name="____________BTM150">#REF!</definedName>
    <definedName name="____________BTM200">#REF!</definedName>
    <definedName name="____________BTM50">#REF!</definedName>
    <definedName name="____________can430">40.73</definedName>
    <definedName name="____________can435">43.3</definedName>
    <definedName name="____________CON1">#REF!</definedName>
    <definedName name="____________CON2">#REF!</definedName>
    <definedName name="____________EXC1">#REF!</definedName>
    <definedName name="____________EXC2">#REF!</definedName>
    <definedName name="____________hom2">#REF!</definedName>
    <definedName name="____________msl100">#REF!</definedName>
    <definedName name="____________msl200">#REF!</definedName>
    <definedName name="____________msl250">#REF!</definedName>
    <definedName name="____________msl300">#REF!</definedName>
    <definedName name="____________msl400">#REF!</definedName>
    <definedName name="____________msl800">#REF!</definedName>
    <definedName name="____________mui100">#REF!</definedName>
    <definedName name="____________mui105">#REF!</definedName>
    <definedName name="____________mui108">#REF!</definedName>
    <definedName name="____________mui130">#REF!</definedName>
    <definedName name="____________mui140">#REF!</definedName>
    <definedName name="____________mui160">#REF!</definedName>
    <definedName name="____________mui180">#REF!</definedName>
    <definedName name="____________mui250">#REF!</definedName>
    <definedName name="____________mui271">#REF!</definedName>
    <definedName name="____________mui320">#REF!</definedName>
    <definedName name="____________mui45">#REF!</definedName>
    <definedName name="____________mui50">#REF!</definedName>
    <definedName name="____________mui54">#REF!</definedName>
    <definedName name="____________mui65">#REF!</definedName>
    <definedName name="____________mui75">#REF!</definedName>
    <definedName name="____________mui80">#REF!</definedName>
    <definedName name="____________NET2">#REF!</definedName>
    <definedName name="____________sat10">#REF!</definedName>
    <definedName name="____________sat12">#REF!</definedName>
    <definedName name="____________sat14">#REF!</definedName>
    <definedName name="____________sat16">#REF!</definedName>
    <definedName name="____________sat20">#REF!</definedName>
    <definedName name="____________sat8">#REF!</definedName>
    <definedName name="____________SMG1">#N/A</definedName>
    <definedName name="____________SMG2">#N/A</definedName>
    <definedName name="____________sua20">#REF!</definedName>
    <definedName name="____________sua30">#REF!</definedName>
    <definedName name="____________vbt150">#REF!</definedName>
    <definedName name="____________vbt200">#REF!</definedName>
    <definedName name="____________vbt210">#REF!</definedName>
    <definedName name="____________vbt300">#REF!</definedName>
    <definedName name="____________vbt400">#REF!</definedName>
    <definedName name="____________vxm100">#REF!</definedName>
    <definedName name="____________vxm300">#REF!</definedName>
    <definedName name="____________vxm500">#REF!</definedName>
    <definedName name="____________vxm75">#REF!</definedName>
    <definedName name="___________act1">#REF!</definedName>
    <definedName name="___________BTM150">#REF!</definedName>
    <definedName name="___________BTM200">#REF!</definedName>
    <definedName name="___________BTM50">#REF!</definedName>
    <definedName name="___________can430">40.73</definedName>
    <definedName name="___________can435">43.3</definedName>
    <definedName name="___________CON1">#REF!</definedName>
    <definedName name="___________CON2">#REF!</definedName>
    <definedName name="___________EXC1">#REF!</definedName>
    <definedName name="___________EXC2">#REF!</definedName>
    <definedName name="___________hom2">#REF!</definedName>
    <definedName name="___________msl100">#REF!</definedName>
    <definedName name="___________msl200">#REF!</definedName>
    <definedName name="___________msl250">#REF!</definedName>
    <definedName name="___________msl300">#REF!</definedName>
    <definedName name="___________msl400">#REF!</definedName>
    <definedName name="___________msl800">#REF!</definedName>
    <definedName name="___________mui100">#REF!</definedName>
    <definedName name="___________mui105">#REF!</definedName>
    <definedName name="___________mui108">#REF!</definedName>
    <definedName name="___________mui130">#REF!</definedName>
    <definedName name="___________mui140">#REF!</definedName>
    <definedName name="___________mui160">#REF!</definedName>
    <definedName name="___________mui180">#REF!</definedName>
    <definedName name="___________mui250">#REF!</definedName>
    <definedName name="___________mui271">#REF!</definedName>
    <definedName name="___________mui320">#REF!</definedName>
    <definedName name="___________mui45">#REF!</definedName>
    <definedName name="___________mui50">#REF!</definedName>
    <definedName name="___________mui54">#REF!</definedName>
    <definedName name="___________mui65">#REF!</definedName>
    <definedName name="___________mui75">#REF!</definedName>
    <definedName name="___________mui80">#REF!</definedName>
    <definedName name="___________NET2">#REF!</definedName>
    <definedName name="___________sat10">#REF!</definedName>
    <definedName name="___________sat12">#REF!</definedName>
    <definedName name="___________sat14">#REF!</definedName>
    <definedName name="___________sat16">#REF!</definedName>
    <definedName name="___________sat20">#REF!</definedName>
    <definedName name="___________sat8">#REF!</definedName>
    <definedName name="___________SMG1">#N/A</definedName>
    <definedName name="___________SMG2">#N/A</definedName>
    <definedName name="___________sua20">#REF!</definedName>
    <definedName name="___________sua30">#REF!</definedName>
    <definedName name="___________vbt150">#REF!</definedName>
    <definedName name="___________vbt200">#REF!</definedName>
    <definedName name="___________vbt210">#REF!</definedName>
    <definedName name="___________vbt300">#REF!</definedName>
    <definedName name="___________vbt400">#REF!</definedName>
    <definedName name="___________vxm100">#REF!</definedName>
    <definedName name="___________vxm300">#REF!</definedName>
    <definedName name="___________vxm500">#REF!</definedName>
    <definedName name="___________vxm75">#REF!</definedName>
    <definedName name="__________act1">#REF!</definedName>
    <definedName name="__________BTM150">#REF!</definedName>
    <definedName name="__________BTM200">#REF!</definedName>
    <definedName name="__________BTM50">#REF!</definedName>
    <definedName name="__________can430">40.73</definedName>
    <definedName name="__________can435">43.3</definedName>
    <definedName name="__________CON1">#REF!</definedName>
    <definedName name="__________CON2">#REF!</definedName>
    <definedName name="__________EXC1">#REF!</definedName>
    <definedName name="__________EXC2">#REF!</definedName>
    <definedName name="__________hom2">#REF!</definedName>
    <definedName name="__________msl100">#REF!</definedName>
    <definedName name="__________msl200">#REF!</definedName>
    <definedName name="__________msl250">#REF!</definedName>
    <definedName name="__________msl300">#REF!</definedName>
    <definedName name="__________msl400">#REF!</definedName>
    <definedName name="__________msl800">#REF!</definedName>
    <definedName name="__________mui100">#REF!</definedName>
    <definedName name="__________mui105">#REF!</definedName>
    <definedName name="__________mui108">#REF!</definedName>
    <definedName name="__________mui130">#REF!</definedName>
    <definedName name="__________mui140">#REF!</definedName>
    <definedName name="__________mui160">#REF!</definedName>
    <definedName name="__________mui180">#REF!</definedName>
    <definedName name="__________mui250">#REF!</definedName>
    <definedName name="__________mui271">#REF!</definedName>
    <definedName name="__________mui320">#REF!</definedName>
    <definedName name="__________mui45">#REF!</definedName>
    <definedName name="__________mui50">#REF!</definedName>
    <definedName name="__________mui54">#REF!</definedName>
    <definedName name="__________mui65">#REF!</definedName>
    <definedName name="__________mui75">#REF!</definedName>
    <definedName name="__________mui80">#REF!</definedName>
    <definedName name="__________NET2">#REF!</definedName>
    <definedName name="__________sat10">#REF!</definedName>
    <definedName name="__________sat12">#REF!</definedName>
    <definedName name="__________sat14">#REF!</definedName>
    <definedName name="__________sat16">#REF!</definedName>
    <definedName name="__________sat20">#REF!</definedName>
    <definedName name="__________sat8">#REF!</definedName>
    <definedName name="__________SMG1">#N/A</definedName>
    <definedName name="__________SMG2">#N/A</definedName>
    <definedName name="__________sua20">#REF!</definedName>
    <definedName name="__________sua30">#REF!</definedName>
    <definedName name="__________vbt150">#REF!</definedName>
    <definedName name="__________vbt200">#REF!</definedName>
    <definedName name="__________vbt210">#REF!</definedName>
    <definedName name="__________vbt300">#REF!</definedName>
    <definedName name="__________vbt400">#REF!</definedName>
    <definedName name="__________vxm100">#REF!</definedName>
    <definedName name="__________vxm300">#REF!</definedName>
    <definedName name="__________vxm500">#REF!</definedName>
    <definedName name="__________vxm75">#REF!</definedName>
    <definedName name="_________act1">#REF!</definedName>
    <definedName name="_________BTM150">#REF!</definedName>
    <definedName name="_________BTM200">#REF!</definedName>
    <definedName name="_________BTM50">#REF!</definedName>
    <definedName name="_________can430">40.73</definedName>
    <definedName name="_________can435">43.3</definedName>
    <definedName name="_________CON1">#REF!</definedName>
    <definedName name="_________CON2">#REF!</definedName>
    <definedName name="_________EXC1">#REF!</definedName>
    <definedName name="_________EXC2">#REF!</definedName>
    <definedName name="_________hom2">#REF!</definedName>
    <definedName name="_________jpl1" hidden="1">#REF!</definedName>
    <definedName name="_________msl100">#REF!</definedName>
    <definedName name="_________msl200">#REF!</definedName>
    <definedName name="_________msl250">#REF!</definedName>
    <definedName name="_________msl300">#REF!</definedName>
    <definedName name="_________msl400">#REF!</definedName>
    <definedName name="_________msl800">#REF!</definedName>
    <definedName name="_________mui100">#REF!</definedName>
    <definedName name="_________mui105">#REF!</definedName>
    <definedName name="_________mui108">#REF!</definedName>
    <definedName name="_________mui130">#REF!</definedName>
    <definedName name="_________mui140">#REF!</definedName>
    <definedName name="_________mui160">#REF!</definedName>
    <definedName name="_________mui180">#REF!</definedName>
    <definedName name="_________mui250">#REF!</definedName>
    <definedName name="_________mui271">#REF!</definedName>
    <definedName name="_________mui320">#REF!</definedName>
    <definedName name="_________mui45">#REF!</definedName>
    <definedName name="_________mui50">#REF!</definedName>
    <definedName name="_________mui54">#REF!</definedName>
    <definedName name="_________mui65">#REF!</definedName>
    <definedName name="_________mui75">#REF!</definedName>
    <definedName name="_________mui80">#REF!</definedName>
    <definedName name="_________NET2">#REF!</definedName>
    <definedName name="_________sat10">#REF!</definedName>
    <definedName name="_________sat12">#REF!</definedName>
    <definedName name="_________sat14">#REF!</definedName>
    <definedName name="_________sat16">#REF!</definedName>
    <definedName name="_________sat20">#REF!</definedName>
    <definedName name="_________sat8">#REF!</definedName>
    <definedName name="_________SMG1" localSheetId="5">'[5]Engg-Exec-2'!#REF!*VLOOKUP('[5]Engg-Exec-2'!$E1,[0]!___________sat14,'[5]Engg-Exec-2'!#REF!+1,FALSE)</definedName>
    <definedName name="_________SMG1">'[5]Engg-Exec-2'!#REF!*VLOOKUP('[5]Engg-Exec-2'!$E1,[0]!___________sat14,'[5]Engg-Exec-2'!#REF!+1,FALSE)</definedName>
    <definedName name="_________SMG2" localSheetId="5">'[5]Site-Precom-2'!#REF!*VLOOKUP('[5]Site-Precom-2'!$E1,[0]!___________sat14,'[5]Site-Precom-2'!#REF!+1,FALSE)</definedName>
    <definedName name="_________SMG2">'[5]Site-Precom-2'!#REF!*VLOOKUP('[5]Site-Precom-2'!$E1,[0]!___________sat14,'[5]Site-Precom-2'!#REF!+1,FALSE)</definedName>
    <definedName name="_________sua20">#REF!</definedName>
    <definedName name="_________sua30">#REF!</definedName>
    <definedName name="_________vbt150">#REF!</definedName>
    <definedName name="_________vbt200">#REF!</definedName>
    <definedName name="_________vbt210">#REF!</definedName>
    <definedName name="_________vbt300">#REF!</definedName>
    <definedName name="_________vbt400">#REF!</definedName>
    <definedName name="_________vxm100">#REF!</definedName>
    <definedName name="_________vxm300">#REF!</definedName>
    <definedName name="_________vxm500">#REF!</definedName>
    <definedName name="_________vxm75">#REF!</definedName>
    <definedName name="________act1">#REF!</definedName>
    <definedName name="________BTM150">#REF!</definedName>
    <definedName name="________BTM200">#REF!</definedName>
    <definedName name="________BTM50">#REF!</definedName>
    <definedName name="________can430">40.73</definedName>
    <definedName name="________can435">43.3</definedName>
    <definedName name="________CON1">#REF!</definedName>
    <definedName name="________CON2">#REF!</definedName>
    <definedName name="________EXC1">#REF!</definedName>
    <definedName name="________EXC2">#REF!</definedName>
    <definedName name="________hom2">#REF!</definedName>
    <definedName name="________jpl1" hidden="1">#REF!</definedName>
    <definedName name="________ktb1">'[6]간접비내역-1'!#REF!</definedName>
    <definedName name="________msl100">#REF!</definedName>
    <definedName name="________msl200">#REF!</definedName>
    <definedName name="________msl250">#REF!</definedName>
    <definedName name="________msl300">#REF!</definedName>
    <definedName name="________msl400">#REF!</definedName>
    <definedName name="________msl800">#REF!</definedName>
    <definedName name="________mui100">#REF!</definedName>
    <definedName name="________mui105">#REF!</definedName>
    <definedName name="________mui108">#REF!</definedName>
    <definedName name="________mui130">#REF!</definedName>
    <definedName name="________mui140">#REF!</definedName>
    <definedName name="________mui160">#REF!</definedName>
    <definedName name="________mui180">#REF!</definedName>
    <definedName name="________mui250">#REF!</definedName>
    <definedName name="________mui271">#REF!</definedName>
    <definedName name="________mui320">#REF!</definedName>
    <definedName name="________mui45">#REF!</definedName>
    <definedName name="________mui50">#REF!</definedName>
    <definedName name="________mui54">#REF!</definedName>
    <definedName name="________mui65">#REF!</definedName>
    <definedName name="________mui75">#REF!</definedName>
    <definedName name="________mui80">#REF!</definedName>
    <definedName name="________NET2">#REF!</definedName>
    <definedName name="________sat10">#REF!</definedName>
    <definedName name="________sat12">#REF!</definedName>
    <definedName name="________sat14">#REF!</definedName>
    <definedName name="________sat16">#REF!</definedName>
    <definedName name="________sat20">#REF!</definedName>
    <definedName name="________sat8">#REF!</definedName>
    <definedName name="________SMG1">#N/A</definedName>
    <definedName name="________SMG2">#N/A</definedName>
    <definedName name="________sua20">#REF!</definedName>
    <definedName name="________sua30">#REF!</definedName>
    <definedName name="________vbt150">#REF!</definedName>
    <definedName name="________vbt200">#REF!</definedName>
    <definedName name="________vbt210">#REF!</definedName>
    <definedName name="________vbt300">#REF!</definedName>
    <definedName name="________vbt400">#REF!</definedName>
    <definedName name="________vxm100">#REF!</definedName>
    <definedName name="________vxm300">#REF!</definedName>
    <definedName name="________vxm500">#REF!</definedName>
    <definedName name="________vxm75">#REF!</definedName>
    <definedName name="_______A655600">#REF!</definedName>
    <definedName name="_______act1">#REF!</definedName>
    <definedName name="_______BTM150">#REF!</definedName>
    <definedName name="_______BTM200">#REF!</definedName>
    <definedName name="_______BTM50">#REF!</definedName>
    <definedName name="_______can430">40.73</definedName>
    <definedName name="_______can435">43.3</definedName>
    <definedName name="_______CON1">#REF!</definedName>
    <definedName name="_______CON2">#REF!</definedName>
    <definedName name="_______EXC1">#REF!</definedName>
    <definedName name="_______EXC2">#REF!</definedName>
    <definedName name="_______hom2">#REF!</definedName>
    <definedName name="_______jpl1" hidden="1">#REF!</definedName>
    <definedName name="_______msl100">#REF!</definedName>
    <definedName name="_______msl200">#REF!</definedName>
    <definedName name="_______msl250">#REF!</definedName>
    <definedName name="_______msl300">#REF!</definedName>
    <definedName name="_______msl400">#REF!</definedName>
    <definedName name="_______msl800">#REF!</definedName>
    <definedName name="_______mui100">#REF!</definedName>
    <definedName name="_______mui105">#REF!</definedName>
    <definedName name="_______mui108">#REF!</definedName>
    <definedName name="_______mui130">#REF!</definedName>
    <definedName name="_______mui140">#REF!</definedName>
    <definedName name="_______mui160">#REF!</definedName>
    <definedName name="_______mui180">#REF!</definedName>
    <definedName name="_______mui250">#REF!</definedName>
    <definedName name="_______mui271">#REF!</definedName>
    <definedName name="_______mui320">#REF!</definedName>
    <definedName name="_______mui45">#REF!</definedName>
    <definedName name="_______mui50">#REF!</definedName>
    <definedName name="_______mui54">#REF!</definedName>
    <definedName name="_______mui65">#REF!</definedName>
    <definedName name="_______mui75">#REF!</definedName>
    <definedName name="_______mui80">#REF!</definedName>
    <definedName name="_______NET2">#REF!</definedName>
    <definedName name="_______sat10">#REF!</definedName>
    <definedName name="_______sat12">#REF!</definedName>
    <definedName name="_______sat14">#REF!</definedName>
    <definedName name="_______sat16">#REF!</definedName>
    <definedName name="_______sat20">#REF!</definedName>
    <definedName name="_______sat8">#REF!</definedName>
    <definedName name="_______SMG1" localSheetId="5">'[5]Engg-Exec-2'!#REF!*VLOOKUP('[5]Engg-Exec-2'!$E1,[0]!___________sat14,'[5]Engg-Exec-2'!#REF!+1,FALSE)</definedName>
    <definedName name="_______SMG1">'[5]Engg-Exec-2'!#REF!*VLOOKUP('[5]Engg-Exec-2'!$E1,[0]!___________sat14,'[5]Engg-Exec-2'!#REF!+1,FALSE)</definedName>
    <definedName name="_______SMG2" localSheetId="5">'[5]Site-Precom-2'!#REF!*VLOOKUP('[5]Site-Precom-2'!$E1,[0]!___________sat14,'[5]Site-Precom-2'!#REF!+1,FALSE)</definedName>
    <definedName name="_______SMG2">'[5]Site-Precom-2'!#REF!*VLOOKUP('[5]Site-Precom-2'!$E1,[0]!___________sat14,'[5]Site-Precom-2'!#REF!+1,FALSE)</definedName>
    <definedName name="_______sua20">#REF!</definedName>
    <definedName name="_______sua30">#REF!</definedName>
    <definedName name="_______vbt150">#REF!</definedName>
    <definedName name="_______vbt200">#REF!</definedName>
    <definedName name="_______vbt210">#REF!</definedName>
    <definedName name="_______vbt300">#REF!</definedName>
    <definedName name="_______vbt400">#REF!</definedName>
    <definedName name="_______vxm100">#REF!</definedName>
    <definedName name="_______vxm300">#REF!</definedName>
    <definedName name="_______vxm500">#REF!</definedName>
    <definedName name="_______vxm75">#REF!</definedName>
    <definedName name="______6">#REF!</definedName>
    <definedName name="______8">#REF!</definedName>
    <definedName name="______A655600">#REF!</definedName>
    <definedName name="______act1">#REF!</definedName>
    <definedName name="______BTM150">#REF!</definedName>
    <definedName name="______BTM200">#REF!</definedName>
    <definedName name="______BTM50">#REF!</definedName>
    <definedName name="______C">#REF!</definedName>
    <definedName name="______can430">40.73</definedName>
    <definedName name="______can435">43.3</definedName>
    <definedName name="______CON1">#REF!</definedName>
    <definedName name="______CON2">#REF!</definedName>
    <definedName name="______EXC1">#REF!</definedName>
    <definedName name="______EXC2">#REF!</definedName>
    <definedName name="______hom2">#REF!</definedName>
    <definedName name="______jpl1" hidden="1">#REF!</definedName>
    <definedName name="______ktb1">'[6]간접비내역-1'!#REF!</definedName>
    <definedName name="______msl100">#REF!</definedName>
    <definedName name="______msl200">#REF!</definedName>
    <definedName name="______msl250">#REF!</definedName>
    <definedName name="______msl300">#REF!</definedName>
    <definedName name="______msl400">#REF!</definedName>
    <definedName name="______msl800">#REF!</definedName>
    <definedName name="______mui100">#REF!</definedName>
    <definedName name="______mui105">#REF!</definedName>
    <definedName name="______mui108">#REF!</definedName>
    <definedName name="______mui130">#REF!</definedName>
    <definedName name="______mui140">#REF!</definedName>
    <definedName name="______mui160">#REF!</definedName>
    <definedName name="______mui180">#REF!</definedName>
    <definedName name="______mui250">#REF!</definedName>
    <definedName name="______mui271">#REF!</definedName>
    <definedName name="______mui320">#REF!</definedName>
    <definedName name="______mui45">#REF!</definedName>
    <definedName name="______mui50">#REF!</definedName>
    <definedName name="______mui54">#REF!</definedName>
    <definedName name="______mui65">#REF!</definedName>
    <definedName name="______mui75">#REF!</definedName>
    <definedName name="______mui80">#REF!</definedName>
    <definedName name="______NET2">#REF!</definedName>
    <definedName name="______R">#REF!</definedName>
    <definedName name="______sat10">#REF!</definedName>
    <definedName name="______sat12">#REF!</definedName>
    <definedName name="______sat14">#REF!</definedName>
    <definedName name="______sat16">#REF!</definedName>
    <definedName name="______sat20">#REF!</definedName>
    <definedName name="______sat8">#REF!</definedName>
    <definedName name="______sua20">#REF!</definedName>
    <definedName name="______sua30">#REF!</definedName>
    <definedName name="______t1">#REF!</definedName>
    <definedName name="______TB2">'[7]SPT vs PHI'!$B$2:$C$65</definedName>
    <definedName name="______vbt150">#REF!</definedName>
    <definedName name="______vbt200">#REF!</definedName>
    <definedName name="______vbt210">#REF!</definedName>
    <definedName name="______vbt300">#REF!</definedName>
    <definedName name="______vbt400">#REF!</definedName>
    <definedName name="______vxm100">#REF!</definedName>
    <definedName name="______vxm300">#REF!</definedName>
    <definedName name="______vxm500">#REF!</definedName>
    <definedName name="______vxm75">#REF!</definedName>
    <definedName name="_____2">'[8]1) COMMON FACILITIES'!#REF!</definedName>
    <definedName name="_____3">'[8]1) COMMON FACILITIES'!#REF!</definedName>
    <definedName name="_____4">'[8]1) COMMON FACILITIES'!#REF!</definedName>
    <definedName name="_____6">#REF!</definedName>
    <definedName name="_____8">#REF!</definedName>
    <definedName name="_____A655600">#REF!</definedName>
    <definedName name="_____act1">#REF!</definedName>
    <definedName name="_____BTM150">#REF!</definedName>
    <definedName name="_____BTM200">#REF!</definedName>
    <definedName name="_____BTM50">#REF!</definedName>
    <definedName name="_____C">#REF!</definedName>
    <definedName name="_____can430">40.73</definedName>
    <definedName name="_____can435">43.3</definedName>
    <definedName name="_____CON1">#REF!</definedName>
    <definedName name="_____CON2">#REF!</definedName>
    <definedName name="_____EDC1">[9]Vessels!#REF!</definedName>
    <definedName name="_____EXC1">#REF!</definedName>
    <definedName name="_____exc11">#REF!</definedName>
    <definedName name="_____EXC2">#REF!</definedName>
    <definedName name="_____EXC3">#REF!</definedName>
    <definedName name="_____EXC4">#REF!</definedName>
    <definedName name="_____foo1">#REF!</definedName>
    <definedName name="_____foo2">#REF!</definedName>
    <definedName name="_____foo3">#REF!</definedName>
    <definedName name="_____FOO4">#REF!</definedName>
    <definedName name="_____hom2">#REF!</definedName>
    <definedName name="_____jpl1" hidden="1">#REF!</definedName>
    <definedName name="_____msl100">#REF!</definedName>
    <definedName name="_____msl200">#REF!</definedName>
    <definedName name="_____msl250">#REF!</definedName>
    <definedName name="_____msl300">#REF!</definedName>
    <definedName name="_____msl400">#REF!</definedName>
    <definedName name="_____msl800">#REF!</definedName>
    <definedName name="_____mui100">#REF!</definedName>
    <definedName name="_____mui105">#REF!</definedName>
    <definedName name="_____mui108">#REF!</definedName>
    <definedName name="_____mui130">#REF!</definedName>
    <definedName name="_____mui140">#REF!</definedName>
    <definedName name="_____mui160">#REF!</definedName>
    <definedName name="_____mui180">#REF!</definedName>
    <definedName name="_____mui250">#REF!</definedName>
    <definedName name="_____mui271">#REF!</definedName>
    <definedName name="_____mui320">#REF!</definedName>
    <definedName name="_____mui45">#REF!</definedName>
    <definedName name="_____mui50">#REF!</definedName>
    <definedName name="_____mui54">#REF!</definedName>
    <definedName name="_____mui65">#REF!</definedName>
    <definedName name="_____mui75">#REF!</definedName>
    <definedName name="_____mui80">#REF!</definedName>
    <definedName name="_____NET2">#REF!</definedName>
    <definedName name="_____pcc1">#REF!</definedName>
    <definedName name="_____pcc2">#REF!</definedName>
    <definedName name="_____pcc3">#REF!</definedName>
    <definedName name="_____PCC4">#REF!</definedName>
    <definedName name="_____plb1">#REF!</definedName>
    <definedName name="_____plb2">#REF!</definedName>
    <definedName name="_____plb3">#REF!</definedName>
    <definedName name="_____plb4">#REF!</definedName>
    <definedName name="_____R">#REF!</definedName>
    <definedName name="_____sat10">#REF!</definedName>
    <definedName name="_____sat12">#REF!</definedName>
    <definedName name="_____sat14">#REF!</definedName>
    <definedName name="_____sat16">#REF!</definedName>
    <definedName name="_____sat20">#REF!</definedName>
    <definedName name="_____sat8">#REF!</definedName>
    <definedName name="_____Sh7" localSheetId="5"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__SMG1" localSheetId="5">'[5]Engg-Exec-2'!#REF!*VLOOKUP('[5]Engg-Exec-2'!$E1,[0]!___________sat14,'[5]Engg-Exec-2'!#REF!+1,FALSE)</definedName>
    <definedName name="_____SMG1">'[5]Engg-Exec-2'!#REF!*VLOOKUP('[5]Engg-Exec-2'!$E1,[0]!___________sat14,'[5]Engg-Exec-2'!#REF!+1,FALSE)</definedName>
    <definedName name="_____SMG2" localSheetId="5">'[5]Site-Precom-2'!#REF!*VLOOKUP('[5]Site-Precom-2'!$E1,[0]!___________sat14,'[5]Site-Precom-2'!#REF!+1,FALSE)</definedName>
    <definedName name="_____SMG2">'[5]Site-Precom-2'!#REF!*VLOOKUP('[5]Site-Precom-2'!$E1,[0]!___________sat14,'[5]Site-Precom-2'!#REF!+1,FALSE)</definedName>
    <definedName name="_____sua20">#REF!</definedName>
    <definedName name="_____sua30">#REF!</definedName>
    <definedName name="_____t1">#REF!</definedName>
    <definedName name="_____TB2">'[7]SPT vs PHI'!$B$2:$C$65</definedName>
    <definedName name="_____vbt150">#REF!</definedName>
    <definedName name="_____vbt200">#REF!</definedName>
    <definedName name="_____vbt210">#REF!</definedName>
    <definedName name="_____vbt300">#REF!</definedName>
    <definedName name="_____vbt400">#REF!</definedName>
    <definedName name="_____vxm100">#REF!</definedName>
    <definedName name="_____vxm300">#REF!</definedName>
    <definedName name="_____vxm500">#REF!</definedName>
    <definedName name="_____vxm75">#REF!</definedName>
    <definedName name="____2">'[8]1) COMMON FACILITIES'!#REF!</definedName>
    <definedName name="____3">'[8]1) COMMON FACILITIES'!#REF!</definedName>
    <definedName name="____4">'[8]1) COMMON FACILITIES'!#REF!</definedName>
    <definedName name="____6">#REF!</definedName>
    <definedName name="____8">#REF!</definedName>
    <definedName name="____A655600">#REF!</definedName>
    <definedName name="____act1">#REF!</definedName>
    <definedName name="____BTM150">#REF!</definedName>
    <definedName name="____BTM200">#REF!</definedName>
    <definedName name="____BTM50">#REF!</definedName>
    <definedName name="____C">#REF!</definedName>
    <definedName name="____can430">40.73</definedName>
    <definedName name="____can435">43.3</definedName>
    <definedName name="____cat12" localSheetId="5" hidden="1">{#N/A,#N/A,TRUE,"Front";#N/A,#N/A,TRUE,"Simple Letter";#N/A,#N/A,TRUE,"Inside";#N/A,#N/A,TRUE,"Contents";#N/A,#N/A,TRUE,"Basis";#N/A,#N/A,TRUE,"Inclusions";#N/A,#N/A,TRUE,"Exclusions";#N/A,#N/A,TRUE,"Areas";#N/A,#N/A,TRUE,"Summary";#N/A,#N/A,TRUE,"Detail"}</definedName>
    <definedName name="____cat12" hidden="1">{#N/A,#N/A,TRUE,"Front";#N/A,#N/A,TRUE,"Simple Letter";#N/A,#N/A,TRUE,"Inside";#N/A,#N/A,TRUE,"Contents";#N/A,#N/A,TRUE,"Basis";#N/A,#N/A,TRUE,"Inclusions";#N/A,#N/A,TRUE,"Exclusions";#N/A,#N/A,TRUE,"Areas";#N/A,#N/A,TRUE,"Summary";#N/A,#N/A,TRUE,"Detail"}</definedName>
    <definedName name="____CON1">#REF!</definedName>
    <definedName name="____CON2">#REF!</definedName>
    <definedName name="____d1">#REF!</definedName>
    <definedName name="____D1112" localSheetId="5" hidden="1">{"'照明目录'!$A$1:$H$31"}</definedName>
    <definedName name="____D1112" hidden="1">{"'照明目录'!$A$1:$H$31"}</definedName>
    <definedName name="____EA1116" localSheetId="5" hidden="1">{"'照明目录'!$A$1:$H$31"}</definedName>
    <definedName name="____EA1116" hidden="1">{"'照明目录'!$A$1:$H$31"}</definedName>
    <definedName name="____EDC1">'[10]VESSELS &amp; COLUMNS'!#REF!</definedName>
    <definedName name="____EXC1">#REF!</definedName>
    <definedName name="____exc11">#REF!</definedName>
    <definedName name="____EXC2">#REF!</definedName>
    <definedName name="____EXC3">#REF!</definedName>
    <definedName name="____EXC4">#REF!</definedName>
    <definedName name="____foo1">#REF!</definedName>
    <definedName name="____foo2">#REF!</definedName>
    <definedName name="____foo3">#REF!</definedName>
    <definedName name="____FOO4">#REF!</definedName>
    <definedName name="____hom2">#REF!</definedName>
    <definedName name="____hp10" localSheetId="5"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nd1">#REF!</definedName>
    <definedName name="____Ind3">#REF!</definedName>
    <definedName name="____Ind4">#REF!</definedName>
    <definedName name="____Iri2">#REF!</definedName>
    <definedName name="____Iro2">#REF!</definedName>
    <definedName name="____jpl1" hidden="1">#REF!</definedName>
    <definedName name="____mht1">#REF!</definedName>
    <definedName name="____msl100">#REF!</definedName>
    <definedName name="____msl200">#REF!</definedName>
    <definedName name="____msl250">#REF!</definedName>
    <definedName name="____msl300">#REF!</definedName>
    <definedName name="____msl400">#REF!</definedName>
    <definedName name="____msl800">#REF!</definedName>
    <definedName name="____mui100">#REF!</definedName>
    <definedName name="____mui105">#REF!</definedName>
    <definedName name="____mui108">#REF!</definedName>
    <definedName name="____mui130">#REF!</definedName>
    <definedName name="____mui140">#REF!</definedName>
    <definedName name="____mui160">#REF!</definedName>
    <definedName name="____mui180">#REF!</definedName>
    <definedName name="____mui250">#REF!</definedName>
    <definedName name="____mui271">#REF!</definedName>
    <definedName name="____mui320">#REF!</definedName>
    <definedName name="____mui45">#REF!</definedName>
    <definedName name="____mui50">#REF!</definedName>
    <definedName name="____mui54">#REF!</definedName>
    <definedName name="____mui65">#REF!</definedName>
    <definedName name="____mui75">#REF!</definedName>
    <definedName name="____mui80">#REF!</definedName>
    <definedName name="____mw1">#REF!</definedName>
    <definedName name="____NET2">#REF!</definedName>
    <definedName name="____obm1">#REF!</definedName>
    <definedName name="____obm2">#REF!</definedName>
    <definedName name="____obm3">#REF!</definedName>
    <definedName name="____obm4">#REF!</definedName>
    <definedName name="____Od1">#REF!</definedName>
    <definedName name="____Od3">#REF!</definedName>
    <definedName name="____osf1">#REF!</definedName>
    <definedName name="____osf2">#REF!</definedName>
    <definedName name="____osf3">#REF!</definedName>
    <definedName name="____osf4">#REF!</definedName>
    <definedName name="____pcc1">#REF!</definedName>
    <definedName name="____pcc2">#REF!</definedName>
    <definedName name="____pcc3">#REF!</definedName>
    <definedName name="____PCC4">#REF!</definedName>
    <definedName name="____plb1">#REF!</definedName>
    <definedName name="____plb2">#REF!</definedName>
    <definedName name="____plb3">#REF!</definedName>
    <definedName name="____plb4">#REF!</definedName>
    <definedName name="____R">#REF!</definedName>
    <definedName name="____sat10">#REF!</definedName>
    <definedName name="____sat12">#REF!</definedName>
    <definedName name="____sat14">#REF!</definedName>
    <definedName name="____sat16">#REF!</definedName>
    <definedName name="____sat20">#REF!</definedName>
    <definedName name="____sat8">#REF!</definedName>
    <definedName name="____sbm1">#REF!</definedName>
    <definedName name="____sbm2">#REF!</definedName>
    <definedName name="____sbm3">#REF!</definedName>
    <definedName name="____SH1">#REF!</definedName>
    <definedName name="____SH2">#REF!</definedName>
    <definedName name="____SH3">#REF!</definedName>
    <definedName name="____SH4">#REF!</definedName>
    <definedName name="____SH5">#REF!</definedName>
    <definedName name="____Sh7" localSheetId="5" hidden="1">{#N/A,#N/A,FALSE,"Vessel1 1";#N/A,#N/A,FALSE,"Vessel1 2";#N/A,#N/A,FALSE,"Vessel1 3";#N/A,#N/A,FALSE,"Vessel1 4";#N/A,#N/A,FALSE,"Vessel1 5";#N/A,#N/A,FALSE,"Vessel1 6";#N/A,#N/A,FALSE,"Vessel1 7";#N/A,#N/A,FALSE,"Vessel1 8";#N/A,#N/A,FALSE,"Vessel1 9";#N/A,#N/A,FALSE,"Vessel1 10";#N/A,#N/A,FALSE,"Vessel1 11"}</definedName>
    <definedName name="____Sh7" hidden="1">{#N/A,#N/A,FALSE,"Vessel1 1";#N/A,#N/A,FALSE,"Vessel1 2";#N/A,#N/A,FALSE,"Vessel1 3";#N/A,#N/A,FALSE,"Vessel1 4";#N/A,#N/A,FALSE,"Vessel1 5";#N/A,#N/A,FALSE,"Vessel1 6";#N/A,#N/A,FALSE,"Vessel1 7";#N/A,#N/A,FALSE,"Vessel1 8";#N/A,#N/A,FALSE,"Vessel1 9";#N/A,#N/A,FALSE,"Vessel1 10";#N/A,#N/A,FALSE,"Vessel1 11"}</definedName>
    <definedName name="____ssf1">#REF!</definedName>
    <definedName name="____ssf2">#REF!</definedName>
    <definedName name="____ssf3">#REF!</definedName>
    <definedName name="____ssf4">#REF!</definedName>
    <definedName name="____st1">#REF!</definedName>
    <definedName name="____st2">#REF!</definedName>
    <definedName name="____st3">#REF!</definedName>
    <definedName name="____st4">#REF!</definedName>
    <definedName name="____st5">#REF!</definedName>
    <definedName name="____sua20">#REF!</definedName>
    <definedName name="____sua30">#REF!</definedName>
    <definedName name="____t1">#REF!</definedName>
    <definedName name="____TB2">'[7]SPT vs PHI'!$B$2:$C$65</definedName>
    <definedName name="____vbt150">#REF!</definedName>
    <definedName name="____vbt200">#REF!</definedName>
    <definedName name="____vbt210">#REF!</definedName>
    <definedName name="____vbt300">#REF!</definedName>
    <definedName name="____vbt400">#REF!</definedName>
    <definedName name="____vxm100">#REF!</definedName>
    <definedName name="____vxm300">#REF!</definedName>
    <definedName name="____vxm500">#REF!</definedName>
    <definedName name="____vxm75">#REF!</definedName>
    <definedName name="___2">'[8]1) COMMON FACILITIES'!#REF!</definedName>
    <definedName name="___3">'[8]1) COMMON FACILITIES'!#REF!</definedName>
    <definedName name="___4">'[8]1) COMMON FACILITIES'!#REF!</definedName>
    <definedName name="___A655600">#REF!</definedName>
    <definedName name="___act1">#REF!</definedName>
    <definedName name="___BTM150">#REF!</definedName>
    <definedName name="___BTM200">#REF!</definedName>
    <definedName name="___BTM250">#REF!</definedName>
    <definedName name="___BTM50">#REF!</definedName>
    <definedName name="___can430">40.73</definedName>
    <definedName name="___can435">43.3</definedName>
    <definedName name="___cat12" localSheetId="5" hidden="1">{#N/A,#N/A,TRUE,"Front";#N/A,#N/A,TRUE,"Simple Letter";#N/A,#N/A,TRUE,"Inside";#N/A,#N/A,TRUE,"Contents";#N/A,#N/A,TRUE,"Basis";#N/A,#N/A,TRUE,"Inclusions";#N/A,#N/A,TRUE,"Exclusions";#N/A,#N/A,TRUE,"Areas";#N/A,#N/A,TRUE,"Summary";#N/A,#N/A,TRUE,"Detail"}</definedName>
    <definedName name="___cat12" hidden="1">{#N/A,#N/A,TRUE,"Front";#N/A,#N/A,TRUE,"Simple Letter";#N/A,#N/A,TRUE,"Inside";#N/A,#N/A,TRUE,"Contents";#N/A,#N/A,TRUE,"Basis";#N/A,#N/A,TRUE,"Inclusions";#N/A,#N/A,TRUE,"Exclusions";#N/A,#N/A,TRUE,"Areas";#N/A,#N/A,TRUE,"Summary";#N/A,#N/A,TRUE,"Detail"}</definedName>
    <definedName name="___CON1">#REF!</definedName>
    <definedName name="___CON2">#REF!</definedName>
    <definedName name="___d1">#REF!</definedName>
    <definedName name="___dao1">'[11]CT Thang Mo'!$B$189:$H$189</definedName>
    <definedName name="___dao2">'[11]CT Thang Mo'!$B$161:$H$161</definedName>
    <definedName name="___dap2">'[11]CT Thang Mo'!$B$162:$H$162</definedName>
    <definedName name="___day1">'[12]Chiet tinh dz22'!#REF!</definedName>
    <definedName name="___day2">'[13]Chiet tinh dz35'!$H$3</definedName>
    <definedName name="___dbu1">'[11]CT Thang Mo'!#REF!</definedName>
    <definedName name="___dbu2">'[11]CT Thang Mo'!$B$93:$F$93</definedName>
    <definedName name="___doc1">#REF!</definedName>
    <definedName name="___EDC1">[14]COLUMNS!#REF!</definedName>
    <definedName name="___EXC1">#REF!</definedName>
    <definedName name="___exc11">#REF!</definedName>
    <definedName name="___EXC2">#REF!</definedName>
    <definedName name="___EXC3">#REF!</definedName>
    <definedName name="___EXC4">#REF!</definedName>
    <definedName name="___foo1">#REF!</definedName>
    <definedName name="___foo2">#REF!</definedName>
    <definedName name="___foo3">#REF!</definedName>
    <definedName name="___FOO4">#REF!</definedName>
    <definedName name="___gon4">#REF!</definedName>
    <definedName name="___hom2">#REF!</definedName>
    <definedName name="___hp10" localSheetId="5"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jpl1" hidden="1">#REF!</definedName>
    <definedName name="___ktb1">'[6]간접비내역-1'!#REF!</definedName>
    <definedName name="___lap1">#REF!</definedName>
    <definedName name="___lap2">#REF!</definedName>
    <definedName name="___MCC3" localSheetId="5" hidden="1">{#N/A,#N/A,FALSE,"CCTV"}</definedName>
    <definedName name="___MCC3" hidden="1">{#N/A,#N/A,FALSE,"CCTV"}</definedName>
    <definedName name="___msl100">#REF!</definedName>
    <definedName name="___msl200">#REF!</definedName>
    <definedName name="___msl250">#REF!</definedName>
    <definedName name="___msl300">#REF!</definedName>
    <definedName name="___msl400">#REF!</definedName>
    <definedName name="___msl800">#REF!</definedName>
    <definedName name="___mui100">#REF!</definedName>
    <definedName name="___mui105">#REF!</definedName>
    <definedName name="___mui108">#REF!</definedName>
    <definedName name="___mui130">#REF!</definedName>
    <definedName name="___mui140">#REF!</definedName>
    <definedName name="___mui160">#REF!</definedName>
    <definedName name="___mui180">#REF!</definedName>
    <definedName name="___mui250">#REF!</definedName>
    <definedName name="___mui271">#REF!</definedName>
    <definedName name="___mui320">#REF!</definedName>
    <definedName name="___mui45">#REF!</definedName>
    <definedName name="___mui50">#REF!</definedName>
    <definedName name="___mui54">#REF!</definedName>
    <definedName name="___mui65">#REF!</definedName>
    <definedName name="___mui75">#REF!</definedName>
    <definedName name="___mui80">#REF!</definedName>
    <definedName name="___NET2">#REF!</definedName>
    <definedName name="___Od4">#REF!</definedName>
    <definedName name="___pcc1">#REF!</definedName>
    <definedName name="___pcc2">#REF!</definedName>
    <definedName name="___pcc3">#REF!</definedName>
    <definedName name="___PCC4">#REF!</definedName>
    <definedName name="___plb1">#REF!</definedName>
    <definedName name="___plb2">#REF!</definedName>
    <definedName name="___plb3">#REF!</definedName>
    <definedName name="___plb4">#REF!</definedName>
    <definedName name="___REV1">"Texte 161"</definedName>
    <definedName name="___REV2">"Texte 173"</definedName>
    <definedName name="___REV3">"Texte 167"</definedName>
    <definedName name="___REV4">"Texte 179"</definedName>
    <definedName name="___sat10">#REF!</definedName>
    <definedName name="___sat12">#REF!</definedName>
    <definedName name="___sat14">#REF!</definedName>
    <definedName name="___sat16">#REF!</definedName>
    <definedName name="___sat20">#REF!</definedName>
    <definedName name="___sat8">#REF!</definedName>
    <definedName name="___SH1">#REF!</definedName>
    <definedName name="___SH2">#REF!</definedName>
    <definedName name="___SH3">#REF!</definedName>
    <definedName name="___SH4">#REF!</definedName>
    <definedName name="___SH5">#REF!</definedName>
    <definedName name="___Sh7" localSheetId="5"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_sua20">#REF!</definedName>
    <definedName name="___sua30">#REF!</definedName>
    <definedName name="___sw70609">[15]MTP!#REF!</definedName>
    <definedName name="___t1">#REF!</definedName>
    <definedName name="___TB2">'[7]SPT vs PHI'!$B$2:$C$65</definedName>
    <definedName name="___vbt150">#REF!</definedName>
    <definedName name="___vbt200">#REF!</definedName>
    <definedName name="___vbt210">#REF!</definedName>
    <definedName name="___vbt300">#REF!</definedName>
    <definedName name="___vbt400">#REF!</definedName>
    <definedName name="___vc1">'[11]CT Thang Mo'!$B$34:$H$34</definedName>
    <definedName name="___vc2">'[11]CT Thang Mo'!$B$35:$H$35</definedName>
    <definedName name="___vc3">'[11]CT Thang Mo'!$B$36:$H$36</definedName>
    <definedName name="___vxm100">#REF!</definedName>
    <definedName name="___vxm300">#REF!</definedName>
    <definedName name="___vxm500">#REF!</definedName>
    <definedName name="___vxm75">#REF!</definedName>
    <definedName name="__123Graph_A" hidden="1">'[16]P-Ins &amp; Bonds'!$F$2:$F$41</definedName>
    <definedName name="__123Graph_ACurrent" hidden="1">'[17]Eq. Mobilization'!#REF!</definedName>
    <definedName name="__123Graph_ASTATPROG" hidden="1">[18]COMPLEXALL!#REF!</definedName>
    <definedName name="__123Graph_B" hidden="1">'[19]P-Ins &amp; Bonds'!#REF!</definedName>
    <definedName name="__123Graph_BCurrent" hidden="1">'[17]Eq. Mobilization'!#REF!</definedName>
    <definedName name="__123Graph_BPERFORMANCE" hidden="1">[20]BQMPALOC!#REF!</definedName>
    <definedName name="__123Graph_C" hidden="1">'[16]P-Ins &amp; Bonds'!$H$28:$H$41</definedName>
    <definedName name="__123Graph_D" hidden="1">'[19]P-Ins &amp; Bonds'!#REF!</definedName>
    <definedName name="__123Graph_E" hidden="1">'[19]P-Ins &amp; Bonds'!#REF!</definedName>
    <definedName name="__123Graph_F" hidden="1">'[19]P-Ins &amp; Bonds'!#REF!</definedName>
    <definedName name="__123Graph_LBL_A" hidden="1">'[17]Eq. Mobilization'!#REF!</definedName>
    <definedName name="__123Graph_LBL_B" hidden="1">'[17]Eq. Mobilization'!#REF!</definedName>
    <definedName name="__123Graph_X" hidden="1">'[16]P-Ins &amp; Bonds'!$B$28:$B$41</definedName>
    <definedName name="__123Graph_XCurrent" hidden="1">'[17]Eq. Mobilization'!#REF!</definedName>
    <definedName name="__123Graph_XSTATPROG" hidden="1">[18]COMPLEXALL!#REF!</definedName>
    <definedName name="__2">'[8]1) COMMON FACILITIES'!#REF!</definedName>
    <definedName name="__3">'[8]1) COMMON FACILITIES'!#REF!</definedName>
    <definedName name="__4">'[8]1) COMMON FACILITIES'!#REF!</definedName>
    <definedName name="__6">#REF!</definedName>
    <definedName name="__8">#REF!</definedName>
    <definedName name="__A2">#REF!</definedName>
    <definedName name="__A655600">#REF!</definedName>
    <definedName name="__a65631">#REF!</definedName>
    <definedName name="__Act1">[21]Closing!$B$15</definedName>
    <definedName name="__Act2">[21]Closing!$C$15</definedName>
    <definedName name="__Act3">[21]Closing!$D$15</definedName>
    <definedName name="__Act4">[21]Closing!$E$15</definedName>
    <definedName name="__Act5">[21]Closing!$F$15</definedName>
    <definedName name="__AXX1">#REF!</definedName>
    <definedName name="__axx2">#REF!</definedName>
    <definedName name="__axx3">#REF!</definedName>
    <definedName name="__axx4">#REF!</definedName>
    <definedName name="__b111121">'[22]ANNEXURE-A'!#REF!</definedName>
    <definedName name="__bol1">#REF!</definedName>
    <definedName name="__BQB1">#REF!</definedName>
    <definedName name="__BQB2">#REF!</definedName>
    <definedName name="__BQB3">#REF!</definedName>
    <definedName name="__BQB4">#REF!</definedName>
    <definedName name="__BQB5">#REF!</definedName>
    <definedName name="__BQB6">#REF!</definedName>
    <definedName name="__BQB7">#REF!</definedName>
    <definedName name="__BQB8">#REF!</definedName>
    <definedName name="__BQB9">#REF!</definedName>
    <definedName name="__BQU03">#REF!</definedName>
    <definedName name="__BTM150">#REF!</definedName>
    <definedName name="__BTM200">#REF!</definedName>
    <definedName name="__BTM250">#REF!</definedName>
    <definedName name="__BTM50">#REF!</definedName>
    <definedName name="__C">#REF!</definedName>
    <definedName name="__CAL01">#REF!</definedName>
    <definedName name="__CAL02">#REF!</definedName>
    <definedName name="__CAL03">#REF!</definedName>
    <definedName name="__CAL04">#REF!</definedName>
    <definedName name="__can430">40.73</definedName>
    <definedName name="__can435">43.3</definedName>
    <definedName name="__cat12" localSheetId="5" hidden="1">{#N/A,#N/A,TRUE,"Front";#N/A,#N/A,TRUE,"Simple Letter";#N/A,#N/A,TRUE,"Inside";#N/A,#N/A,TRUE,"Contents";#N/A,#N/A,TRUE,"Basis";#N/A,#N/A,TRUE,"Inclusions";#N/A,#N/A,TRUE,"Exclusions";#N/A,#N/A,TRUE,"Areas";#N/A,#N/A,TRUE,"Summary";#N/A,#N/A,TRUE,"Detail"}</definedName>
    <definedName name="__cat12" hidden="1">{#N/A,#N/A,TRUE,"Front";#N/A,#N/A,TRUE,"Simple Letter";#N/A,#N/A,TRUE,"Inside";#N/A,#N/A,TRUE,"Contents";#N/A,#N/A,TRUE,"Basis";#N/A,#N/A,TRUE,"Inclusions";#N/A,#N/A,TRUE,"Exclusions";#N/A,#N/A,TRUE,"Areas";#N/A,#N/A,TRUE,"Summary";#N/A,#N/A,TRUE,"Detail"}</definedName>
    <definedName name="__CCC1">#REF!</definedName>
    <definedName name="__CDA1">[21]Closing!$B$30</definedName>
    <definedName name="__CDA2">[21]Closing!$C$30</definedName>
    <definedName name="__CDA3">[21]Closing!$D$30</definedName>
    <definedName name="__CDA4">[21]Closing!$E$30</definedName>
    <definedName name="__CDA5">[21]Closing!$F$30</definedName>
    <definedName name="__CON1">#REF!</definedName>
    <definedName name="__CON2">#REF!</definedName>
    <definedName name="__d1">#REF!</definedName>
    <definedName name="__D1112" localSheetId="5" hidden="1">{"'照明目录'!$A$1:$H$31"}</definedName>
    <definedName name="__D1112" hidden="1">{"'照明目录'!$A$1:$H$31"}</definedName>
    <definedName name="__dao1">'[11]CT Thang Mo'!$B$189:$H$189</definedName>
    <definedName name="__dao2">'[11]CT Thang Mo'!$B$161:$H$161</definedName>
    <definedName name="__dap2">'[11]CT Thang Mo'!$B$162:$H$162</definedName>
    <definedName name="__day1">'[12]Chiet tinh dz22'!#REF!</definedName>
    <definedName name="__day2">'[13]Chiet tinh dz35'!$H$3</definedName>
    <definedName name="__dbu1">'[11]CT Thang Mo'!#REF!</definedName>
    <definedName name="__dbu2">'[11]CT Thang Mo'!$B$93:$F$93</definedName>
    <definedName name="__doc1">#REF!</definedName>
    <definedName name="__EA1116" localSheetId="5" hidden="1">{"'照明目录'!$A$1:$H$31"}</definedName>
    <definedName name="__EA1116" hidden="1">{"'照明目录'!$A$1:$H$31"}</definedName>
    <definedName name="__EDC1">#REF!</definedName>
    <definedName name="__EXC1">#REF!</definedName>
    <definedName name="__exc11">#REF!</definedName>
    <definedName name="__EXC2">#REF!</definedName>
    <definedName name="__EXC3">#REF!</definedName>
    <definedName name="__EXC4">#REF!</definedName>
    <definedName name="__foo1">#REF!</definedName>
    <definedName name="__foo2">#REF!</definedName>
    <definedName name="__foo3">#REF!</definedName>
    <definedName name="__FOO4">#REF!</definedName>
    <definedName name="__GNR1">#REF!</definedName>
    <definedName name="__gon4">#REF!</definedName>
    <definedName name="__hfi04">#REF!</definedName>
    <definedName name="__hfi1">#REF!</definedName>
    <definedName name="__hfi2">#REF!</definedName>
    <definedName name="__hom2">#REF!</definedName>
    <definedName name="__hp10" localSheetId="5"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Ind1">#REF!</definedName>
    <definedName name="__Ind3">#REF!</definedName>
    <definedName name="__Ind4">#REF!</definedName>
    <definedName name="__ING01">#REF!</definedName>
    <definedName name="__ING02">#REF!</definedName>
    <definedName name="__Iri2">#REF!</definedName>
    <definedName name="__Iro2">#REF!</definedName>
    <definedName name="__jpl1" hidden="1">#REF!</definedName>
    <definedName name="__Ki1">#REF!</definedName>
    <definedName name="__Ki2">#REF!</definedName>
    <definedName name="__kp1">#REF!</definedName>
    <definedName name="__kp2">#REF!</definedName>
    <definedName name="__kp3">#REF!</definedName>
    <definedName name="__ktb1">'[6]간접비내역-1'!#REF!</definedName>
    <definedName name="__lap1">#REF!</definedName>
    <definedName name="__lap2">#REF!</definedName>
    <definedName name="__MAN1">#REF!</definedName>
    <definedName name="__MAT1">'[23]M 11'!#REF!</definedName>
    <definedName name="__MAT2">'[23]M 11'!#REF!</definedName>
    <definedName name="__MCC3" localSheetId="5" hidden="1">{#N/A,#N/A,FALSE,"CCTV"}</definedName>
    <definedName name="__MCC3" hidden="1">{#N/A,#N/A,FALSE,"CCTV"}</definedName>
    <definedName name="__MDS01">#REF!</definedName>
    <definedName name="__mht1">#REF!</definedName>
    <definedName name="__mnk1">#REF!</definedName>
    <definedName name="__msl100">#REF!</definedName>
    <definedName name="__msl200">#REF!</definedName>
    <definedName name="__msl250">#REF!</definedName>
    <definedName name="__msl300">#REF!</definedName>
    <definedName name="__msl400">#REF!</definedName>
    <definedName name="__msl800">#REF!</definedName>
    <definedName name="__mui100">#REF!</definedName>
    <definedName name="__mui105">#REF!</definedName>
    <definedName name="__mui108">#REF!</definedName>
    <definedName name="__mui130">#REF!</definedName>
    <definedName name="__mui140">#REF!</definedName>
    <definedName name="__mui160">#REF!</definedName>
    <definedName name="__mui180">#REF!</definedName>
    <definedName name="__mui250">#REF!</definedName>
    <definedName name="__mui271">#REF!</definedName>
    <definedName name="__mui320">#REF!</definedName>
    <definedName name="__mui45">#REF!</definedName>
    <definedName name="__mui50">#REF!</definedName>
    <definedName name="__mui54">#REF!</definedName>
    <definedName name="__mui65">#REF!</definedName>
    <definedName name="__mui75">#REF!</definedName>
    <definedName name="__mui80">#REF!</definedName>
    <definedName name="__MVE01">#REF!</definedName>
    <definedName name="__mw1">#REF!</definedName>
    <definedName name="__NET2">#REF!</definedName>
    <definedName name="__obm1">#REF!</definedName>
    <definedName name="__obm2">#REF!</definedName>
    <definedName name="__obm3">#REF!</definedName>
    <definedName name="__obm4">#REF!</definedName>
    <definedName name="__Od1">#REF!</definedName>
    <definedName name="__Od3">#REF!</definedName>
    <definedName name="__osf1">#REF!</definedName>
    <definedName name="__osf2">#REF!</definedName>
    <definedName name="__osf3">#REF!</definedName>
    <definedName name="__osf4">#REF!</definedName>
    <definedName name="__PAG01">#REF!</definedName>
    <definedName name="__PAG02">#REF!</definedName>
    <definedName name="__PB1">#REF!</definedName>
    <definedName name="__pcc1">#REF!</definedName>
    <definedName name="__pcc2">#REF!</definedName>
    <definedName name="__pcc3">#REF!</definedName>
    <definedName name="__PCC4">#REF!</definedName>
    <definedName name="__PHN01">#REF!</definedName>
    <definedName name="__PHN02">#REF!</definedName>
    <definedName name="__plb1">#REF!</definedName>
    <definedName name="__plb2">#REF!</definedName>
    <definedName name="__plb3">#REF!</definedName>
    <definedName name="__plb4">#REF!</definedName>
    <definedName name="__PRT1">#REF!</definedName>
    <definedName name="__PRT2">#REF!</definedName>
    <definedName name="__PRT3">#REF!</definedName>
    <definedName name="__PRT4">#REF!</definedName>
    <definedName name="__PRT5">#REF!</definedName>
    <definedName name="__PRT6">#REF!</definedName>
    <definedName name="__PRT7">#REF!</definedName>
    <definedName name="__PRT8">#REF!</definedName>
    <definedName name="__pu1">#REF!</definedName>
    <definedName name="__pu2">#REF!</definedName>
    <definedName name="__QQQ1">#REF!</definedName>
    <definedName name="__R">#REF!</definedName>
    <definedName name="__R1">'[24]SYSTEM 945 Air&amp;Nitrogen'!#REF!</definedName>
    <definedName name="__R6bis">[25]PERLITE!$L$52</definedName>
    <definedName name="__Re1">#REF!</definedName>
    <definedName name="__REV1">"Texte 161"</definedName>
    <definedName name="__REV2">"Texte 173"</definedName>
    <definedName name="__REV3">"Texte 167"</definedName>
    <definedName name="__REV4">"Texte 179"</definedName>
    <definedName name="__RGF01">#REF!</definedName>
    <definedName name="__RHN01">#REF!</definedName>
    <definedName name="__RHN02">#REF!</definedName>
    <definedName name="__RHN03">#REF!</definedName>
    <definedName name="__RHN04">#REF!</definedName>
    <definedName name="__RNC1">#REF!</definedName>
    <definedName name="__RRR01">#REF!</definedName>
    <definedName name="__Rs1">#REF!</definedName>
    <definedName name="__S3">#REF!</definedName>
    <definedName name="__sat10">#REF!</definedName>
    <definedName name="__sat12">#REF!</definedName>
    <definedName name="__sat14">#REF!</definedName>
    <definedName name="__sat16">#REF!</definedName>
    <definedName name="__sat20">#REF!</definedName>
    <definedName name="__sat8">#REF!</definedName>
    <definedName name="__sbm1">#REF!</definedName>
    <definedName name="__sbm2">#REF!</definedName>
    <definedName name="__sbm3">#REF!</definedName>
    <definedName name="__sbm4">#REF!</definedName>
    <definedName name="__sch160">#REF!</definedName>
    <definedName name="__SCH40">#REF!</definedName>
    <definedName name="__sch80">#REF!</definedName>
    <definedName name="__SH1">#REF!</definedName>
    <definedName name="__SH2">#REF!</definedName>
    <definedName name="__SH3">#REF!</definedName>
    <definedName name="__SH4">#REF!</definedName>
    <definedName name="__SH5">#REF!</definedName>
    <definedName name="__Sh7" localSheetId="5" hidden="1">{#N/A,#N/A,FALSE,"Vessel1 1";#N/A,#N/A,FALSE,"Vessel1 2";#N/A,#N/A,FALSE,"Vessel1 3";#N/A,#N/A,FALSE,"Vessel1 4";#N/A,#N/A,FALSE,"Vessel1 5";#N/A,#N/A,FALSE,"Vessel1 6";#N/A,#N/A,FALSE,"Vessel1 7";#N/A,#N/A,FALSE,"Vessel1 8";#N/A,#N/A,FALSE,"Vessel1 9";#N/A,#N/A,FALSE,"Vessel1 10";#N/A,#N/A,FALSE,"Vessel1 11"}</definedName>
    <definedName name="__Sh7" hidden="1">{#N/A,#N/A,FALSE,"Vessel1 1";#N/A,#N/A,FALSE,"Vessel1 2";#N/A,#N/A,FALSE,"Vessel1 3";#N/A,#N/A,FALSE,"Vessel1 4";#N/A,#N/A,FALSE,"Vessel1 5";#N/A,#N/A,FALSE,"Vessel1 6";#N/A,#N/A,FALSE,"Vessel1 7";#N/A,#N/A,FALSE,"Vessel1 8";#N/A,#N/A,FALSE,"Vessel1 9";#N/A,#N/A,FALSE,"Vessel1 10";#N/A,#N/A,FALSE,"Vessel1 11"}</definedName>
    <definedName name="__Sig3">[26]Code!$B$8</definedName>
    <definedName name="__Sig4">[26]Code!$B$9</definedName>
    <definedName name="__Sig5">[26]Code!$B$10</definedName>
    <definedName name="__SMG1">#N/A</definedName>
    <definedName name="__SMG2">#N/A</definedName>
    <definedName name="__ssf1">#REF!</definedName>
    <definedName name="__ssf2">#REF!</definedName>
    <definedName name="__ssf3">#REF!</definedName>
    <definedName name="__ssf4">#REF!</definedName>
    <definedName name="__st1">#REF!</definedName>
    <definedName name="__st2">#REF!</definedName>
    <definedName name="__st3">#REF!</definedName>
    <definedName name="__st4">#REF!</definedName>
    <definedName name="__st5">#REF!</definedName>
    <definedName name="__sua20">#REF!</definedName>
    <definedName name="__sua30">#REF!</definedName>
    <definedName name="__sw70609">[15]MTP!#REF!</definedName>
    <definedName name="__t1">#REF!</definedName>
    <definedName name="__TB2">'[7]SPT vs PHI'!$B$2:$C$65</definedName>
    <definedName name="__te1">#REF!</definedName>
    <definedName name="__vbt150">#REF!</definedName>
    <definedName name="__vbt200">#REF!</definedName>
    <definedName name="__vbt210">#REF!</definedName>
    <definedName name="__vbt300">#REF!</definedName>
    <definedName name="__vbt400">#REF!</definedName>
    <definedName name="__vc1">'[11]CT Thang Mo'!$B$34:$H$34</definedName>
    <definedName name="__vc2">'[11]CT Thang Mo'!$B$35:$H$35</definedName>
    <definedName name="__vc3">'[11]CT Thang Mo'!$B$36:$H$36</definedName>
    <definedName name="__vxm100">#REF!</definedName>
    <definedName name="__vxm300">#REF!</definedName>
    <definedName name="__vxm500">#REF!</definedName>
    <definedName name="__vxm75">#REF!</definedName>
    <definedName name="__WCP1">#REF!</definedName>
    <definedName name="__WCY01">#REF!</definedName>
    <definedName name="__WW01">#REF!</definedName>
    <definedName name="__WW02">#REF!</definedName>
    <definedName name="__WW03">#REF!</definedName>
    <definedName name="__WWW1">#REF!</definedName>
    <definedName name="__WWW2">#REF!</definedName>
    <definedName name="__WWW3">#REF!</definedName>
    <definedName name="_0">#REF!</definedName>
    <definedName name="_0___0">#REF!</definedName>
    <definedName name="_001"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 localSheetId="5" hidden="1">{"'照明目录'!$A$1:$H$31"}</definedName>
    <definedName name="_1" hidden="1">{"'照明目录'!$A$1:$H$31"}</definedName>
    <definedName name="_1____0DATA_DATA2_L">'[27]#REF'!#REF!</definedName>
    <definedName name="_10__123Graph_CCHART_1" hidden="1">[28]Cash2!$J$16:$J$36</definedName>
    <definedName name="_1000A01">#N/A</definedName>
    <definedName name="_100T">#REF!</definedName>
    <definedName name="_100W">#REF!</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MACRO_SOMMAIRE_.Bouton5_QuandClic">'[29]PM Demolition '!_10MACRO_SOMMAIRE_.Bouton5_QuandClic</definedName>
    <definedName name="_10ST">#REF!</definedName>
    <definedName name="_10SW">#REF!</definedName>
    <definedName name="_10T">#REF!</definedName>
    <definedName name="_10W">#REF!</definedName>
    <definedName name="_11" localSheetId="5" hidden="1">{"'照明目录'!$A$1:$H$31"}</definedName>
    <definedName name="_11" hidden="1">{"'照明目录'!$A$1:$H$31"}</definedName>
    <definedName name="_11MACRO_SOMMAIRE_.Bouton10_QuandClic">'[29]PM Demolition '!_11MACRO_SOMMAIRE_.Bouton10_QuandClic</definedName>
    <definedName name="_11MACRO_SOMMAIRE_.Bouton6_QuandClic">'[29]PM Demolition '!_11MACRO_SOMMAIRE_.Bouton6_QuandClic</definedName>
    <definedName name="_12" localSheetId="5" hidden="1">{"'照明目录'!$A$1:$H$31"}</definedName>
    <definedName name="_12" hidden="1">{"'照明目录'!$A$1:$H$31"}</definedName>
    <definedName name="_12__123Graph_DCHART_1" hidden="1">[28]Cash2!$K$16:$K$36</definedName>
    <definedName name="_120T">#REF!</definedName>
    <definedName name="_120W">#REF!</definedName>
    <definedName name="_123graph_p" hidden="1">'[30]P-Ins &amp; Bonds'!#REF!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MACRO_SOMMAIRE_.Bouton7_QuandClic">'[29]PM Demolition '!_12MACRO_SOMMAIRE_.Bouton7_QuandClic</definedName>
    <definedName name="_13" localSheetId="5" hidden="1">{"'照明目录'!$A$1:$H$31"}</definedName>
    <definedName name="_13" hidden="1">{"'照明目录'!$A$1:$H$31"}</definedName>
    <definedName name="_13__123Graph_XChart_1A" hidden="1">'[17]Eq. Mobilization'!#REF!</definedName>
    <definedName name="_13MACRO_SOMMAIRE_.Bouton8_QuandClic">'[29]PM Demolition '!_13MACRO_SOMMAIRE_.Bouton8_QuandClic</definedName>
    <definedName name="_14" localSheetId="5" hidden="1">{"'照明目录'!$A$1:$H$31"}</definedName>
    <definedName name="_14" hidden="1">{"'照明目录'!$A$1:$H$31"}</definedName>
    <definedName name="_140T">#REF!</definedName>
    <definedName name="_140W">#REF!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MACRO_SOMMAIRE_.Bouton11_QuandClic">'[29]PM Demolition '!_14MACRO_SOMMAIRE_.Bouton11_QuandClic</definedName>
    <definedName name="_14MACRO_SOMMAIRE_.Bouton9_QuandClic">'[29]PM Demolition '!_14MACRO_SOMMAIRE_.Bouton9_QuandClic</definedName>
    <definedName name="_15" localSheetId="5" hidden="1">{"'照明目录'!$A$1:$H$31"}</definedName>
    <definedName name="_15" hidden="1">{"'照明目录'!$A$1:$H$31"}</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ACROS_IMPRESSION_.Choix">'[29]PM Demolition '!_15MACROS_IMPRESSION_.Choix</definedName>
    <definedName name="_16" localSheetId="5" hidden="1">{"'照明目录'!$A$1:$H$31"}</definedName>
    <definedName name="_16" hidden="1">{"'照明目录'!$A$1:$H$31"}</definedName>
    <definedName name="_160T">#REF!</definedName>
    <definedName name="_160W">#REF!</definedName>
    <definedName name="_16MACROS_IMPRESSION_.Démare">'[29]PM Demolition '!_16MACROS_IMPRESSION_.Démare</definedName>
    <definedName name="_17" localSheetId="5" hidden="1">{"'照明目录'!$A$1:$H$31"}</definedName>
    <definedName name="_17" hidden="1">{"'照明目录'!$A$1:$H$31"}</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ACRO_SOMMAIRE_.Bouton12_QuandClic">'[29]PM Demolition '!_17MACRO_SOMMAIRE_.Bouton12_QuandClic</definedName>
    <definedName name="_18" localSheetId="5" hidden="1">{"'照明目录'!$A$1:$H$31"}</definedName>
    <definedName name="_18" hidden="1">{"'照明目录'!$A$1:$H$31"}</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9" localSheetId="5" hidden="1">{"'照明目录'!$A$1:$H$31"}</definedName>
    <definedName name="_19" hidden="1">{"'照明目录'!$A$1:$H$31"}</definedName>
    <definedName name="_1BA1025">[31]MTP!#REF!</definedName>
    <definedName name="_1BA1037">[31]MTP!#REF!</definedName>
    <definedName name="_1BA1050">[31]MTP!#REF!</definedName>
    <definedName name="_1BA1075">[31]MTP!#REF!</definedName>
    <definedName name="_1BA1100">[31]MTP!#REF!</definedName>
    <definedName name="_1BA2500">#REF!</definedName>
    <definedName name="_1BA3025">[31]MTP!#REF!</definedName>
    <definedName name="_1BA3037">[31]MTP!#REF!</definedName>
    <definedName name="_1BA3050">[31]MTP!#REF!</definedName>
    <definedName name="_1BA305G">[31]MTP!#REF!</definedName>
    <definedName name="_1BA3075">[31]MTP!#REF!</definedName>
    <definedName name="_1BA3100">[31]MTP!#REF!</definedName>
    <definedName name="_1BA3160">[31]MTP!#REF!</definedName>
    <definedName name="_1BA3250">#REF!</definedName>
    <definedName name="_1BA3320">[31]MTP!#REF!</definedName>
    <definedName name="_1BA3400">[31]MTP!#REF!</definedName>
    <definedName name="_1BA400P">#REF!</definedName>
    <definedName name="_1CAP001">#REF!</definedName>
    <definedName name="_1CAP002">[32]MTP!#REF!</definedName>
    <definedName name="_1CAP003">[31]MTP!#REF!</definedName>
    <definedName name="_1CAPTU1">[15]MTP!#REF!</definedName>
    <definedName name="_1CDHT01">[31]MTP!#REF!</definedName>
    <definedName name="_1CDHT02">[31]MTP!#REF!</definedName>
    <definedName name="_1CHANG1">[31]MTP!#REF!</definedName>
    <definedName name="_1D1112_" localSheetId="5" hidden="1">{"'照明目录'!$A$1:$H$31"}</definedName>
    <definedName name="_1D1112_" hidden="1">{"'照明目录'!$A$1:$H$31"}</definedName>
    <definedName name="_1DA0801">[31]MTP!#REF!</definedName>
    <definedName name="_1DA0802">[31]MTP!#REF!</definedName>
    <definedName name="_1DA1201">[31]MTP!#REF!</definedName>
    <definedName name="_1DA2001">[31]MTP!#REF!</definedName>
    <definedName name="_1DA2401">[33]MTP!#REF!</definedName>
    <definedName name="_1DA2402">[33]MTP!#REF!</definedName>
    <definedName name="_1DA3201">[33]MTP!#REF!</definedName>
    <definedName name="_1DA3202">[33]MTP!#REF!</definedName>
    <definedName name="_1DA3203">[33]MTP!#REF!</definedName>
    <definedName name="_1DA3204">[31]MTP!#REF!</definedName>
    <definedName name="_1DAU001">[31]MTP!#REF!</definedName>
    <definedName name="_1DAU002">#REF!</definedName>
    <definedName name="_1DAU003">[31]MTP!#REF!</definedName>
    <definedName name="_1DCTT48">[31]MTP!#REF!</definedName>
    <definedName name="_1DDAY03">#REF!</definedName>
    <definedName name="_1DDTT01">#REF!</definedName>
    <definedName name="_1DK1001">[31]MTP!#REF!</definedName>
    <definedName name="_1DK3001">[31]MTP!#REF!</definedName>
    <definedName name="_1FCO101">#REF!</definedName>
    <definedName name="_1GIA101">#REF!</definedName>
    <definedName name="_1KD22B1">[31]MTP!#REF!</definedName>
    <definedName name="_1KDM22T">[31]MTP!#REF!</definedName>
    <definedName name="_1KEP001">[31]MTP!#REF!</definedName>
    <definedName name="_1LA1001">#REF!</definedName>
    <definedName name="_1LCAP01">[31]MTP!#REF!</definedName>
    <definedName name="_1MACRO_3___Roof_Plate_.resolution">'[29]PM Demolition '!_1MACRO_3___Roof_Plate_.resolution</definedName>
    <definedName name="_1MCCBO2">#REF!</definedName>
    <definedName name="_1module4_1_.begin_macro">[34]!_1module4_1_.begin_macro</definedName>
    <definedName name="_1NEO001">[33]MTP!#REF!</definedName>
    <definedName name="_1PKCAP1">#REF!</definedName>
    <definedName name="_1PKIEN1">[31]MTP!#REF!</definedName>
    <definedName name="_1PKTT01">#REF!</definedName>
    <definedName name="_1SDUNG1">[33]MTP!#REF!</definedName>
    <definedName name="_1STREO1">[31]MTP!#REF!</definedName>
    <definedName name="_1STREO2">[31]MTP!#REF!</definedName>
    <definedName name="_1STREO3">[31]MTP!#REF!</definedName>
    <definedName name="_1TCD101">#REF!</definedName>
    <definedName name="_1TCD201">#REF!</definedName>
    <definedName name="_1TD1001">[31]MTP!#REF!</definedName>
    <definedName name="_1TD1002">[31]MTP!#REF!</definedName>
    <definedName name="_1TD2001">#REF!</definedName>
    <definedName name="_1TIHT01">#REF!</definedName>
    <definedName name="_1TIHT02">[31]MTP!#REF!</definedName>
    <definedName name="_1TIHT03">[31]MTP!#REF!</definedName>
    <definedName name="_1TIHT04">[31]MTP!#REF!</definedName>
    <definedName name="_1TIHT05">[31]MTP!#REF!</definedName>
    <definedName name="_1TRU121">#REF!</definedName>
    <definedName name="_1UCLEV1">[31]MTP!#REF!</definedName>
    <definedName name="_2">#REF!</definedName>
    <definedName name="_2___0DATA_DATA2_L">'[27]#REF'!#REF!</definedName>
    <definedName name="_2__123Graph_ACHART_1" hidden="1">[28]Cash2!$G$16:$G$31</definedName>
    <definedName name="_2_0DATA_DATA2_L">'[27]#REF'!#REF!</definedName>
    <definedName name="_20" localSheetId="5" hidden="1">{"'照明目录'!$A$1:$H$31"}</definedName>
    <definedName name="_20" hidden="1">{"'照明目录'!$A$1:$H$31"}</definedName>
    <definedName name="_2000_Ind_Pers">#REF!</definedName>
    <definedName name="_20MACRO_SOMMAIRE_.Bouton13_QuandClic">'[29]PM Demolition '!_20MACRO_SOMMAIRE_.Bouton13_QuandClic</definedName>
    <definedName name="_20T">#REF!</definedName>
    <definedName name="_20W">#REF!</definedName>
    <definedName name="_21" localSheetId="5" hidden="1">{"'照明目录'!$A$1:$H$31"}</definedName>
    <definedName name="_21" hidden="1">{"'照明目录'!$A$1:$H$31"}</definedName>
    <definedName name="_214700">'[35]Main '!#REF!</definedName>
    <definedName name="_22" localSheetId="5" hidden="1">{"'照明目录'!$A$1:$H$31"}</definedName>
    <definedName name="_22" hidden="1">{"'照明目录'!$A$1:$H$31"}</definedName>
    <definedName name="_23" localSheetId="5" hidden="1">{"'照明目录'!$A$1:$H$31"}</definedName>
    <definedName name="_23" hidden="1">{"'照明目录'!$A$1:$H$31"}</definedName>
    <definedName name="_23MACRO_SOMMAIRE_.Bouton2_QuandClic">'[29]PM Demolition '!_23MACRO_SOMMAIRE_.Bouton2_QuandClic</definedName>
    <definedName name="_24" localSheetId="5" hidden="1">{"'照明目录'!$A$1:$H$31"}</definedName>
    <definedName name="_24" hidden="1">{"'照明目录'!$A$1:$H$31"}</definedName>
    <definedName name="_25" localSheetId="5" hidden="1">{"'照明目录'!$A$1:$H$31"}</definedName>
    <definedName name="_25" hidden="1">{"'照明目录'!$A$1:$H$31"}</definedName>
    <definedName name="_26" localSheetId="5" hidden="1">{"'照明目录'!$A$1:$H$31"}</definedName>
    <definedName name="_26" hidden="1">{"'照明目录'!$A$1:$H$31"}</definedName>
    <definedName name="_26MACRO_SOMMAIRE_.Bouton3_QuandClic">'[29]PM Demolition '!_26MACRO_SOMMAIRE_.Bouton3_QuandClic</definedName>
    <definedName name="_27" localSheetId="5" hidden="1">{"'照明目录'!$A$1:$H$31"}</definedName>
    <definedName name="_27" hidden="1">{"'照明目录'!$A$1:$H$31"}</definedName>
    <definedName name="_28" localSheetId="5" hidden="1">{"'照明目录'!$A$1:$H$31"}</definedName>
    <definedName name="_28" hidden="1">{"'照明目录'!$A$1:$H$31"}</definedName>
    <definedName name="_29" localSheetId="5" hidden="1">{"'照明目录'!$A$1:$H$31"}</definedName>
    <definedName name="_29" hidden="1">{"'照明目录'!$A$1:$H$31"}</definedName>
    <definedName name="_29MACRO_SOMMAIRE_.Bouton4_QuandClic">'[29]PM Demolition '!_29MACRO_SOMMAIRE_.Bouton4_QuandClic</definedName>
    <definedName name="_2BLA100">#REF!</definedName>
    <definedName name="_2CHAG01">[31]MTP!#REF!</definedName>
    <definedName name="_2CHAG02">[31]MTP!#REF!</definedName>
    <definedName name="_2CHDG01">[31]MTP!#REF!</definedName>
    <definedName name="_2CHDG02">[31]MTP!#REF!</definedName>
    <definedName name="_2CHGI01">[31]MTP!#REF!</definedName>
    <definedName name="_2CHSG01">[31]MTP!#REF!</definedName>
    <definedName name="_2COTT48">[31]MTP!#REF!</definedName>
    <definedName name="_2DA0801">[31]MTP!#REF!</definedName>
    <definedName name="_2DA0802">[31]MTP!#REF!</definedName>
    <definedName name="_2DA2001">[31]MTP!#REF!</definedName>
    <definedName name="_2DA2002">[31]MTP!#REF!</definedName>
    <definedName name="_2DA2401">[31]MTP!#REF!</definedName>
    <definedName name="_2DA2402">[31]MTP!#REF!</definedName>
    <definedName name="_2DA2403">[31]MTP!#REF!</definedName>
    <definedName name="_2DA2404">[31]MTP!#REF!</definedName>
    <definedName name="_2DA2405">[31]MTP!#REF!</definedName>
    <definedName name="_2DA2406">[31]MTP!#REF!</definedName>
    <definedName name="_2DA3202">[31]MTP!#REF!</definedName>
    <definedName name="_2DAL201">#REF!</definedName>
    <definedName name="_2DCT001">[31]MTP!#REF!</definedName>
    <definedName name="_2DDAY01">[31]MTP!#REF!</definedName>
    <definedName name="_2DS1P01">[31]MTP!#REF!</definedName>
    <definedName name="_2DS3P01">[31]MTP!#REF!</definedName>
    <definedName name="_2EA1116_" localSheetId="5" hidden="1">{"'照明目录'!$A$1:$H$31"}</definedName>
    <definedName name="_2EA1116_" hidden="1">{"'照明目录'!$A$1:$H$31"}</definedName>
    <definedName name="_2FCO100">[31]MTP!#REF!</definedName>
    <definedName name="_2FCO200">[31]MTP!#REF!</definedName>
    <definedName name="_2KD0221">[31]MTP!#REF!</definedName>
    <definedName name="_2KD0223">[31]MTP!#REF!</definedName>
    <definedName name="_2KD0481">[31]MTP!#REF!</definedName>
    <definedName name="_2KD0500">[31]MTP!#REF!</definedName>
    <definedName name="_2KD0501">[31]MTP!#REF!</definedName>
    <definedName name="_2KD0502">[31]MTP!#REF!</definedName>
    <definedName name="_2KD0700">[31]MTP!#REF!</definedName>
    <definedName name="_2KD0701">[31]MTP!#REF!</definedName>
    <definedName name="_2KD0702">[31]MTP!#REF!</definedName>
    <definedName name="_2KD0950">[31]MTP!#REF!</definedName>
    <definedName name="_2KD0951">[31]MTP!#REF!</definedName>
    <definedName name="_2KD1501">[31]MTP!#REF!</definedName>
    <definedName name="_2KD1502">[31]MTP!#REF!</definedName>
    <definedName name="_2KD22B1">[31]MTP!#REF!</definedName>
    <definedName name="_2KD2401">[31]MTP!#REF!</definedName>
    <definedName name="_2KD48B1">[31]MTP!#REF!</definedName>
    <definedName name="_2LA1001">[31]MTP!#REF!</definedName>
    <definedName name="_2LBCO01">[31]MTP!#REF!</definedName>
    <definedName name="_2LBS001">[31]MTP!#REF!</definedName>
    <definedName name="_2MACRO_SOMMAIRE_.Bouton1_QuandClic">'[29]PM Demolition '!_2MACRO_SOMMAIRE_.Bouton1_QuandClic</definedName>
    <definedName name="_2MONG01">[31]MTP!#REF!</definedName>
    <definedName name="_2NDFOUR">#REF!</definedName>
    <definedName name="_2NDONE">#REF!</definedName>
    <definedName name="_2NDTHREE">#REF!</definedName>
    <definedName name="_2NEO001">[31]MTP!#REF!</definedName>
    <definedName name="_2NHANH1">[31]MTP!#REF!</definedName>
    <definedName name="_2OILS01">[31]MTP!#REF!</definedName>
    <definedName name="_2PKTT01">[31]MTP!#REF!</definedName>
    <definedName name="_2RECLO1">[31]MTP!#REF!</definedName>
    <definedName name="_2SDINH1">[31]MTP!#REF!</definedName>
    <definedName name="_2SDUNG1">[31]MTP!#REF!</definedName>
    <definedName name="_2SDUNG4">[36]MTP!#REF!</definedName>
    <definedName name="_2STREO1">[31]MTP!#REF!</definedName>
    <definedName name="_2STREO2">[31]MTP!#REF!</definedName>
    <definedName name="_2STREO3">[31]MTP!#REF!</definedName>
    <definedName name="_2STREO4">[31]MTP!#REF!</definedName>
    <definedName name="_2STREO7">[8]MTP!#REF!</definedName>
    <definedName name="_2SUDO01">[31]MTP!#REF!</definedName>
    <definedName name="_2TDIA01">[31]MTP!#REF!</definedName>
    <definedName name="_2TDTD01">[31]MTP!#REF!</definedName>
    <definedName name="_2TRU121">[31]MTP!#REF!</definedName>
    <definedName name="_2TRU122">[31]MTP!#REF!</definedName>
    <definedName name="_2TRU141">[31]MTP!#REF!</definedName>
    <definedName name="_2TU3100">[31]MTP!#REF!</definedName>
    <definedName name="_2TU6100">[31]MTP!#REF!</definedName>
    <definedName name="_2UCLEV1">[31]MTP!#REF!</definedName>
    <definedName name="_2UCLEV2">[36]MTP!#REF!</definedName>
    <definedName name="_2VTLT01">[31]MTP!#REF!</definedName>
    <definedName name="_3">'[37]1) COMMON FACILITIES'!#REF!</definedName>
    <definedName name="_3__123Graph_AChart_1A" hidden="1">'[17]Eq. Mobilization'!#REF!</definedName>
    <definedName name="_30" localSheetId="5" hidden="1">{"'照明目录'!$A$1:$H$31"}</definedName>
    <definedName name="_30" hidden="1">{"'照明目录'!$A$1:$H$31"}</definedName>
    <definedName name="_3000_Mob_Demob">#REF!</definedName>
    <definedName name="_30T">#REF!</definedName>
    <definedName name="_30W">#REF!</definedName>
    <definedName name="_31" localSheetId="5" hidden="1">{"'照明目录'!$A$1:$H$31"}</definedName>
    <definedName name="_31" hidden="1">{"'照明目录'!$A$1:$H$31"}</definedName>
    <definedName name="_3100_Temp_Site">#REF!</definedName>
    <definedName name="_32" localSheetId="5" hidden="1">{"'照明目录'!$A$1:$H$31"}</definedName>
    <definedName name="_32" hidden="1">{"'照明目录'!$A$1:$H$31"}</definedName>
    <definedName name="_3200_Camp">#REF!</definedName>
    <definedName name="_32MACRO_SOMMAIRE_.Bouton5_QuandClic">'[29]PM Demolition '!_32MACRO_SOMMAIRE_.Bouton5_QuandClic</definedName>
    <definedName name="_35MACRO_SOMMAIRE_.Bouton6_QuandClic">'[29]PM Demolition '!_35MACRO_SOMMAIRE_.Bouton6_QuandClic</definedName>
    <definedName name="_38MACRO_SOMMAIRE_.Bouton7_QuandClic">'[29]PM Demolition '!_38MACRO_SOMMAIRE_.Bouton7_QuandClic</definedName>
    <definedName name="_3ABC501">[31]MTP!#REF!</definedName>
    <definedName name="_3ABC701">[31]MTP!#REF!</definedName>
    <definedName name="_3ABC951">[31]MTP!#REF!</definedName>
    <definedName name="_3BLXMD">#REF!</definedName>
    <definedName name="_3BRANCH">[31]MTP!#REF!</definedName>
    <definedName name="_3BTHT01">[31]MTP!#REF!</definedName>
    <definedName name="_3BTHT02">[31]MTP!#REF!</definedName>
    <definedName name="_3BTHT11">[31]MTP!#REF!</definedName>
    <definedName name="_3CHAG01">[31]MTP!#REF!</definedName>
    <definedName name="_3CHAG02">[31]MTP!#REF!</definedName>
    <definedName name="_3CHAG03">[31]MTP!#REF!</definedName>
    <definedName name="_3CHAG04">[31]MTP!#REF!</definedName>
    <definedName name="_3CHDG01">[31]MTP!#REF!</definedName>
    <definedName name="_3CHDG02">[31]MTP!#REF!</definedName>
    <definedName name="_3CHDG03">[31]MTP!#REF!</definedName>
    <definedName name="_3CHDG04">[31]MTP!#REF!</definedName>
    <definedName name="_3CHSG01">[31]MTP!#REF!</definedName>
    <definedName name="_3CHSG02">[31]MTP!#REF!</definedName>
    <definedName name="_3CLHT01">[31]MTP!#REF!</definedName>
    <definedName name="_3CLHT02">[31]MTP!#REF!</definedName>
    <definedName name="_3CLHT03">[31]MTP!#REF!</definedName>
    <definedName name="_3COABC1">[31]MTP!#REF!</definedName>
    <definedName name="_3CPHA01">[31]MTP!#REF!</definedName>
    <definedName name="_3DA0001">[31]MTP!#REF!</definedName>
    <definedName name="_3DA0002">[31]MTP!#REF!</definedName>
    <definedName name="_3DCT001">[31]MTP!#REF!</definedName>
    <definedName name="_3DUPLEX">[31]MTP!#REF!</definedName>
    <definedName name="_3FERRU1">[31]MTP!#REF!</definedName>
    <definedName name="_3FERRU2">[31]MTP!#REF!</definedName>
    <definedName name="_3KD3501">[31]MTP!#REF!</definedName>
    <definedName name="_3KD3502">[31]MTP!#REF!</definedName>
    <definedName name="_3KD3511">[31]MTP!#REF!</definedName>
    <definedName name="_3KD3801">[31]MTP!#REF!</definedName>
    <definedName name="_3KD4801">[31]MTP!#REF!</definedName>
    <definedName name="_3KD5011">[31]MTP!#REF!</definedName>
    <definedName name="_3KD7501">[31]MTP!#REF!</definedName>
    <definedName name="_3KD9501">[31]MTP!#REF!</definedName>
    <definedName name="_3LABC01">[31]MTP!#REF!</definedName>
    <definedName name="_3LONG01">[31]MTP!#REF!</definedName>
    <definedName name="_3LONG02">[31]MTP!#REF!</definedName>
    <definedName name="_3LONG03">[31]MTP!#REF!</definedName>
    <definedName name="_3LONG04">[31]MTP!#REF!</definedName>
    <definedName name="_3LSON01">[31]MTP!#REF!</definedName>
    <definedName name="_3LSON02">[31]MTP!#REF!</definedName>
    <definedName name="_3LSON03">[31]MTP!#REF!</definedName>
    <definedName name="_3LSON04">[31]MTP!#REF!</definedName>
    <definedName name="_3LSON05">[31]MTP!#REF!</definedName>
    <definedName name="_3LSON06">[31]MTP!#REF!</definedName>
    <definedName name="_3LSON07">[31]MTP!#REF!</definedName>
    <definedName name="_3LSON08">[31]MTP!#REF!</definedName>
    <definedName name="_3LSON09">[31]MTP!#REF!</definedName>
    <definedName name="_3LSON10">[31]MTP!#REF!</definedName>
    <definedName name="_3LSON11">[31]MTP!#REF!</definedName>
    <definedName name="_3LSON12">[31]MTP!#REF!</definedName>
    <definedName name="_3LSON13">[31]MTP!#REF!</definedName>
    <definedName name="_3LSON14">[31]MTP!#REF!</definedName>
    <definedName name="_3LSON15">[31]MTP!#REF!</definedName>
    <definedName name="_3LSON16">[31]MTP!#REF!</definedName>
    <definedName name="_3LSON17">[31]MTP!#REF!</definedName>
    <definedName name="_3LSON18">[31]MTP!#REF!</definedName>
    <definedName name="_3LSON19">[31]MTP!#REF!</definedName>
    <definedName name="_3MACRO_3___Roof_Plate_.resolution">'[29]PM Demolition '!_3MACRO_3___Roof_Plate_.resolution</definedName>
    <definedName name="_3MACRO_SOMMAIRE_.Bouton10_QuandClic">'[29]PM Demolition '!_3MACRO_SOMMAIRE_.Bouton10_QuandClic</definedName>
    <definedName name="_3MONG01">[31]MTP!#REF!</definedName>
    <definedName name="_3NEO001">[31]MTP!#REF!</definedName>
    <definedName name="_3NEO002">[31]MTP!#REF!</definedName>
    <definedName name="_3PKABC1">[31]MTP!#REF!</definedName>
    <definedName name="_3PKHT01">[31]MTP!#REF!</definedName>
    <definedName name="_3QUARTD">[31]MTP!#REF!</definedName>
    <definedName name="_3RACK31">[31]MTP!#REF!</definedName>
    <definedName name="_3RACK41">[31]MTP!#REF!</definedName>
    <definedName name="_3TDIA01">[31]MTP!#REF!</definedName>
    <definedName name="_3TDIA02">[31]MTP!#REF!</definedName>
    <definedName name="_3TRU091">[31]MTP!#REF!</definedName>
    <definedName name="_3TRU101">[31]MTP!#REF!</definedName>
    <definedName name="_3TRU102">[31]MTP!#REF!</definedName>
    <definedName name="_3TRU121">[31]MTP!#REF!</definedName>
    <definedName name="_3TRU731">[31]MTP!#REF!</definedName>
    <definedName name="_3TRU841">[31]MTP!#REF!</definedName>
    <definedName name="_3TRU842">[31]MTP!#REF!</definedName>
    <definedName name="_3TRU843">[31]MTP!#REF!</definedName>
    <definedName name="_3TU0601">[31]MTP!#REF!</definedName>
    <definedName name="_3TU0602">[31]MTP!#REF!</definedName>
    <definedName name="_3TU0603">[31]MTP!#REF!</definedName>
    <definedName name="_3TU0609">#REF!</definedName>
    <definedName name="_3TU0901">[31]MTP!#REF!</definedName>
    <definedName name="_3TU0902">[31]MTP!#REF!</definedName>
    <definedName name="_3TU0903">[31]MTP!#REF!</definedName>
    <definedName name="_4">#REF!</definedName>
    <definedName name="_4000_Dir_Equip">#REF!</definedName>
    <definedName name="_40ST">#REF!</definedName>
    <definedName name="_40SW">#REF!</definedName>
    <definedName name="_40T">#REF!</definedName>
    <definedName name="_40W">#REF!</definedName>
    <definedName name="_4100_Construc_Equip">#REF!</definedName>
    <definedName name="_41MACRO_SOMMAIRE_.Bouton8_QuandClic">'[29]PM Demolition '!_41MACRO_SOMMAIRE_.Bouton8_QuandClic</definedName>
    <definedName name="_4200_Vehicles">#REF!</definedName>
    <definedName name="_4300_Small_C_Tools">#REF!</definedName>
    <definedName name="_4400_Spec_Equip">#REF!</definedName>
    <definedName name="_44MACRO_SOMMAIRE_.Bouton9_QuandClic">'[29]PM Demolition '!_44MACRO_SOMMAIRE_.Bouton9_QuandClic</definedName>
    <definedName name="_4500_Works">#REF!</definedName>
    <definedName name="_4600_Testing">#REF!</definedName>
    <definedName name="_4800_Scaff">#REF!</definedName>
    <definedName name="_4CDTT01">[31]MTP!#REF!</definedName>
    <definedName name="_4CNT050">[31]MTP!#REF!</definedName>
    <definedName name="_4CNT095">[31]MTP!#REF!</definedName>
    <definedName name="_4CNT150">[31]MTP!#REF!</definedName>
    <definedName name="_4CNT240">#REF!</definedName>
    <definedName name="_4CTL050">[31]MTP!#REF!</definedName>
    <definedName name="_4CTL095">[31]MTP!#REF!</definedName>
    <definedName name="_4CTL150">[31]MTP!#REF!</definedName>
    <definedName name="_4CTL240">#REF!</definedName>
    <definedName name="_4ED2062">[31]MTP!#REF!</definedName>
    <definedName name="_4ED2063">[31]MTP!#REF!</definedName>
    <definedName name="_4ED2064">[31]MTP!#REF!</definedName>
    <definedName name="_4FCO100">#REF!</definedName>
    <definedName name="_4FCO101">[31]MTP!#REF!</definedName>
    <definedName name="_4GIA101">[31]MTP!#REF!</definedName>
    <definedName name="_4GOIC01">[31]MTP!#REF!</definedName>
    <definedName name="_4HDCTT1">[31]MTP!#REF!</definedName>
    <definedName name="_4HDCTT2">[31]MTP!#REF!</definedName>
    <definedName name="_4HDCTT3">[31]MTP!#REF!</definedName>
    <definedName name="_4HDCTT4">#REF!</definedName>
    <definedName name="_4HNCTT1">[31]MTP!#REF!</definedName>
    <definedName name="_4HNCTT2">[31]MTP!#REF!</definedName>
    <definedName name="_4HNCTT3">[31]MTP!#REF!</definedName>
    <definedName name="_4HNCTT4">#REF!</definedName>
    <definedName name="_4KEPC01">[31]MTP!#REF!</definedName>
    <definedName name="_4LBCO01">#REF!</definedName>
    <definedName name="_4MACRO_SOMMAIRE_.Bouton11_QuandClic">'[29]PM Demolition '!_4MACRO_SOMMAIRE_.Bouton11_QuandClic</definedName>
    <definedName name="_4OSLCTT">#REF!</definedName>
    <definedName name="_5">#REF!</definedName>
    <definedName name="_5__123Graph_ACHART_2" hidden="1">[28]Z!$T$179:$AH$179</definedName>
    <definedName name="_51MACROS_IMPRESSION_.Choix">'[29]PM Demolition '!_51MACROS_IMPRESSION_.Choix</definedName>
    <definedName name="_54MACROS_IMPRESSION_.Démare">'[29]PM Demolition '!_54MACROS_IMPRESSION_.Démare</definedName>
    <definedName name="_5CNHT95">[31]MTP!#REF!</definedName>
    <definedName name="_5GOIC01">[31]MTP!#REF!</definedName>
    <definedName name="_5HDCHT1">[31]MTP!#REF!</definedName>
    <definedName name="_5KEPC01">[31]MTP!#REF!</definedName>
    <definedName name="_5MACRO_SOMMAIRE_.Bouton12_QuandClic">'[29]PM Demolition '!_5MACRO_SOMMAIRE_.Bouton12_QuandClic</definedName>
    <definedName name="_5OSLCHT">[31]MTP!#REF!</definedName>
    <definedName name="_5ST">#REF!</definedName>
    <definedName name="_5SW">#REF!</definedName>
    <definedName name="_5TU120">[15]MTP!#REF!</definedName>
    <definedName name="_5TU130">[15]MTP!#REF!</definedName>
    <definedName name="_6">#REF!</definedName>
    <definedName name="_6__123Graph_BChart_1A" hidden="1">'[17]Eq. Mobilization'!#REF!</definedName>
    <definedName name="_60T">#REF!</definedName>
    <definedName name="_60W">#REF!</definedName>
    <definedName name="_6BNTTTH">[8]MTP1!#REF!</definedName>
    <definedName name="_6DCTTBO">[8]MTP1!#REF!</definedName>
    <definedName name="_6DD24TT">[8]MTP1!#REF!</definedName>
    <definedName name="_6FCOTBU">[8]MTP1!#REF!</definedName>
    <definedName name="_6LATUBU">[8]MTP1!#REF!</definedName>
    <definedName name="_6MACRO_SOMMAIRE_.Bouton13_QuandClic">'[29]PM Demolition '!_6MACRO_SOMMAIRE_.Bouton13_QuandClic</definedName>
    <definedName name="_6SDTT24">[8]MTP1!#REF!</definedName>
    <definedName name="_6TBUDTT">[8]MTP1!#REF!</definedName>
    <definedName name="_6TDDDTT">[8]MTP1!#REF!</definedName>
    <definedName name="_6TLTTTH">[8]MTP1!#REF!</definedName>
    <definedName name="_6TUBUTT">[8]MTP1!#REF!</definedName>
    <definedName name="_6UCLVIS">[8]MTP1!#REF!</definedName>
    <definedName name="_7">#REF!</definedName>
    <definedName name="_7DNCABC">[8]MTP1!#REF!</definedName>
    <definedName name="_7HDCTBU">[8]MTP1!#REF!</definedName>
    <definedName name="_7MACRO_SOMMAIRE_.Bouton2_QuandClic">'[29]PM Demolition '!_7MACRO_SOMMAIRE_.Bouton2_QuandClic</definedName>
    <definedName name="_7PKTUBU">[8]MTP1!#REF!</definedName>
    <definedName name="_7TBHT20">[8]MTP1!#REF!</definedName>
    <definedName name="_7TBHT30">[8]MTP1!#REF!</definedName>
    <definedName name="_7TDCABC">[8]MTP1!#REF!</definedName>
    <definedName name="_8__123Graph_BCHART_2" hidden="1">[28]Z!$T$180:$AH$180</definedName>
    <definedName name="_80ST">#REF!</definedName>
    <definedName name="_80SW">#REF!</definedName>
    <definedName name="_80T">#REF!</definedName>
    <definedName name="_80W">#REF!</definedName>
    <definedName name="_8MACRO_SOMMAIRE_.Bouton1_QuandClic">'[29]PM Demolition '!_8MACRO_SOMMAIRE_.Bouton1_QuandClic</definedName>
    <definedName name="_8MACRO_SOMMAIRE_.Bouton3_QuandClic">'[29]PM Demolition '!_8MACRO_SOMMAIRE_.Bouton3_QuandClic</definedName>
    <definedName name="_9MACRO_SOMMAIRE_.Bouton4_QuandClic">'[29]PM Demolition '!_9MACRO_SOMMAIRE_.Bouton4_QuandClic</definedName>
    <definedName name="_a">#REF!</definedName>
    <definedName name="_A1" localSheetId="5" hidden="1">{#N/A,#N/A,FALSE,"type1";#N/A,#N/A,FALSE,"지지력";#N/A,#N/A,FALSE,"PILE계산";#N/A,#N/A,FALSE,"PILE ";#N/A,#N/A,FALSE,"철근량";#N/A,#N/A,FALSE,"균열검토";#N/A,#N/A,FALSE,"날개벽";#N/A,#N/A,FALSE,"주철근조립도";#N/A,#N/A,FALSE,"교좌"}</definedName>
    <definedName name="_A1" hidden="1">{#N/A,#N/A,FALSE,"type1";#N/A,#N/A,FALSE,"지지력";#N/A,#N/A,FALSE,"PILE계산";#N/A,#N/A,FALSE,"PILE ";#N/A,#N/A,FALSE,"철근량";#N/A,#N/A,FALSE,"균열검토";#N/A,#N/A,FALSE,"날개벽";#N/A,#N/A,FALSE,"주철근조립도";#N/A,#N/A,FALSE,"교좌"}</definedName>
    <definedName name="_A10" localSheetId="5" hidden="1">{#N/A,#N/A,FALSE,"CCTV"}</definedName>
    <definedName name="_A10" hidden="1">{#N/A,#N/A,FALSE,"CCTV"}</definedName>
    <definedName name="_A2">#REF!</definedName>
    <definedName name="_A655600">#REF!</definedName>
    <definedName name="_a65631">#REF!</definedName>
    <definedName name="_Act1">[21]Closing!$B$15</definedName>
    <definedName name="_Act2">[21]Closing!$C$15</definedName>
    <definedName name="_Act3">[21]Closing!$D$15</definedName>
    <definedName name="_Act4">[21]Closing!$E$15</definedName>
    <definedName name="_Act5">[21]Closing!$F$15</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XX1">#REF!</definedName>
    <definedName name="_axx2">#REF!</definedName>
    <definedName name="_axx3">#REF!</definedName>
    <definedName name="_axx4">#REF!</definedName>
    <definedName name="_B">[25]MTO!$O$110</definedName>
    <definedName name="_b1">#REF!</definedName>
    <definedName name="_b111121">'[22]ANNEXURE-A'!#REF!</definedName>
    <definedName name="_BAA1">#REF!</definedName>
    <definedName name="_bol1">#REF!</definedName>
    <definedName name="_BQB1">#REF!</definedName>
    <definedName name="_BQB2">#REF!</definedName>
    <definedName name="_BQB3">#REF!</definedName>
    <definedName name="_BQB4">#REF!</definedName>
    <definedName name="_BQB5">#REF!</definedName>
    <definedName name="_BQB6">#REF!</definedName>
    <definedName name="_BQB7">#REF!</definedName>
    <definedName name="_BQB8">#REF!</definedName>
    <definedName name="_BQB9">#REF!</definedName>
    <definedName name="_BQU03">#REF!</definedName>
    <definedName name="_BTM150">#REF!</definedName>
    <definedName name="_BTM200">#REF!</definedName>
    <definedName name="_BTM250">#REF!</definedName>
    <definedName name="_BTM50">#REF!</definedName>
    <definedName name="_c">#REF!</definedName>
    <definedName name="_C___0">#REF!</definedName>
    <definedName name="_C___13">#REF!</definedName>
    <definedName name="_c_1">#REF!</definedName>
    <definedName name="_C2X">'[38]Piperack SectionCC Footing'!#REF!</definedName>
    <definedName name="_C2Y">'[38]Piperack SectionCC Footing'!#REF!</definedName>
    <definedName name="_CAL01">#REF!</definedName>
    <definedName name="_CAL02">#REF!</definedName>
    <definedName name="_CAL03">#REF!</definedName>
    <definedName name="_CAL04">#REF!</definedName>
    <definedName name="_can430">40.73</definedName>
    <definedName name="_can435">43.3</definedName>
    <definedName name="_cas1">#REF!</definedName>
    <definedName name="_cas2">#REF!</definedName>
    <definedName name="_cat12" localSheetId="5" hidden="1">{#N/A,#N/A,TRUE,"Front";#N/A,#N/A,TRUE,"Simple Letter";#N/A,#N/A,TRUE,"Inside";#N/A,#N/A,TRUE,"Contents";#N/A,#N/A,TRUE,"Basis";#N/A,#N/A,TRUE,"Inclusions";#N/A,#N/A,TRUE,"Exclusions";#N/A,#N/A,TRUE,"Areas";#N/A,#N/A,TRUE,"Summary";#N/A,#N/A,TRUE,"Detail"}</definedName>
    <definedName name="_cat12" hidden="1">{#N/A,#N/A,TRUE,"Front";#N/A,#N/A,TRUE,"Simple Letter";#N/A,#N/A,TRUE,"Inside";#N/A,#N/A,TRUE,"Contents";#N/A,#N/A,TRUE,"Basis";#N/A,#N/A,TRUE,"Inclusions";#N/A,#N/A,TRUE,"Exclusions";#N/A,#N/A,TRUE,"Areas";#N/A,#N/A,TRUE,"Summary";#N/A,#N/A,TRUE,"Detail"}</definedName>
    <definedName name="_CCC1">#REF!</definedName>
    <definedName name="_CDA1">[21]Closing!$B$30</definedName>
    <definedName name="_CDA2">[21]Closing!$C$30</definedName>
    <definedName name="_CDA3">[21]Closing!$D$30</definedName>
    <definedName name="_CDA4">[21]Closing!$E$30</definedName>
    <definedName name="_CDA5">[21]Closing!$F$30</definedName>
    <definedName name="_cem124">[39]Analysis!$D$434</definedName>
    <definedName name="_CON1">#REF!</definedName>
    <definedName name="_CON2">#REF!</definedName>
    <definedName name="_CY53__">#REF!</definedName>
    <definedName name="_d">#REF!</definedName>
    <definedName name="_d1">#REF!</definedName>
    <definedName name="_D1112" localSheetId="5" hidden="1">{"'照明目录'!$A$1:$H$31"}</definedName>
    <definedName name="_D1112" hidden="1">{"'照明目录'!$A$1:$H$31"}</definedName>
    <definedName name="_d2">[25]MTO!$O$108</definedName>
    <definedName name="_d5">[40]PERLITE!$L$48</definedName>
    <definedName name="_d6">[40]PERLITE!$L$49</definedName>
    <definedName name="_dao1">'[11]CT Thang Mo'!$B$189:$H$189</definedName>
    <definedName name="_dao2">'[11]CT Thang Mo'!$B$161:$H$161</definedName>
    <definedName name="_dap2">'[11]CT Thang Mo'!$B$162:$H$162</definedName>
    <definedName name="_day1">'[12]Chiet tinh dz22'!#REF!</definedName>
    <definedName name="_day2">'[13]Chiet tinh dz35'!$H$3</definedName>
    <definedName name="_dbu1">'[11]CT Thang Mo'!#REF!</definedName>
    <definedName name="_dbu2">'[11]CT Thang Mo'!$B$93:$F$93</definedName>
    <definedName name="_del1">#REF!</definedName>
    <definedName name="_dk1" localSheetId="5" hidden="1">{#N/A,#N/A,FALSE,"COVER.XLS";#N/A,#N/A,FALSE,"RACT1.XLS";#N/A,#N/A,FALSE,"RACT2.XLS";#N/A,#N/A,FALSE,"ECCMP";#N/A,#N/A,FALSE,"WELDER.XLS"}</definedName>
    <definedName name="_dk1" hidden="1">{#N/A,#N/A,FALSE,"COVER.XLS";#N/A,#N/A,FALSE,"RACT1.XLS";#N/A,#N/A,FALSE,"RACT2.XLS";#N/A,#N/A,FALSE,"ECCMP";#N/A,#N/A,FALSE,"WELDER.XLS"}</definedName>
    <definedName name="_doc1">#REF!</definedName>
    <definedName name="_EA1116" localSheetId="5" hidden="1">{"'照明目录'!$A$1:$H$31"}</definedName>
    <definedName name="_EA1116" hidden="1">{"'照明目录'!$A$1:$H$31"}</definedName>
    <definedName name="_EDC1">'[14]VESSELS '!#REF!</definedName>
    <definedName name="_EXC1">#REF!</definedName>
    <definedName name="_exc11">#REF!</definedName>
    <definedName name="_EXC2">#REF!</definedName>
    <definedName name="_EXC3">#REF!</definedName>
    <definedName name="_EXC4">#REF!</definedName>
    <definedName name="_f">#REF!</definedName>
    <definedName name="_FDN1">#REF!</definedName>
    <definedName name="_FDN2">#REF!</definedName>
    <definedName name="_ffy40">#REF!</definedName>
    <definedName name="_Fill" hidden="1">#REF!</definedName>
    <definedName name="_Fill1" hidden="1">[41]Sheet1!#REF!</definedName>
    <definedName name="_xlnm._FilterDatabase" hidden="1">#REF!</definedName>
    <definedName name="_foo1">#REF!</definedName>
    <definedName name="_foo2">#REF!</definedName>
    <definedName name="_foo3">#REF!</definedName>
    <definedName name="_FOO4">#REF!</definedName>
    <definedName name="_FW001">#REF!</definedName>
    <definedName name="_GHH2">#REF!</definedName>
    <definedName name="_GNR1">#REF!</definedName>
    <definedName name="_gon4">#REF!</definedName>
    <definedName name="_GOTO_I10_">#REF!</definedName>
    <definedName name="_H1">[40]PERLITE!$B$45</definedName>
    <definedName name="_H2">[40]PERLITE!$B$47</definedName>
    <definedName name="_H3">[40]PERLITE!$B$48</definedName>
    <definedName name="_H4">[40]PERLITE!$B$49</definedName>
    <definedName name="_H5">[40]PERLITE!$B$50</definedName>
    <definedName name="_H6">[40]PERLITE!$B$51</definedName>
    <definedName name="_H7">[40]PERLITE!$B$52</definedName>
    <definedName name="_Hew1">#REF!</definedName>
    <definedName name="_hfi04">#REF!</definedName>
    <definedName name="_hfi1">#REF!</definedName>
    <definedName name="_hfi2">#REF!</definedName>
    <definedName name="_hom2">#REF!</definedName>
    <definedName name="_Hos1">#REF!</definedName>
    <definedName name="_Hp">[40]PERLITE!$L$45</definedName>
    <definedName name="_hp10" localSheetId="5"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#REF!</definedName>
    <definedName name="_Ind1">#REF!</definedName>
    <definedName name="_Ind3">#REF!</definedName>
    <definedName name="_Ind4">#REF!</definedName>
    <definedName name="_ING01">#REF!</definedName>
    <definedName name="_ING02">#REF!</definedName>
    <definedName name="_Iri2">#REF!</definedName>
    <definedName name="_Iro2">#REF!</definedName>
    <definedName name="_j">#REF!</definedName>
    <definedName name="_jpl1" hidden="1">#REF!</definedName>
    <definedName name="_k">#REF!</definedName>
    <definedName name="_Key1" localSheetId="5" hidden="1">#REF!</definedName>
    <definedName name="_Key1" hidden="1">#REF!</definedName>
    <definedName name="_Key2" localSheetId="5" hidden="1">#REF!</definedName>
    <definedName name="_Key2" hidden="1">#REF!</definedName>
    <definedName name="_KEY3" hidden="1">#REF!</definedName>
    <definedName name="_key4" hidden="1">#REF!</definedName>
    <definedName name="_Ki1">#REF!</definedName>
    <definedName name="_Ki2">#REF!</definedName>
    <definedName name="_kvs1" localSheetId="5" hidden="1">{#N/A,#N/A,FALSE,"COVER1.XLS ";#N/A,#N/A,FALSE,"RACT1.XLS";#N/A,#N/A,FALSE,"RACT2.XLS";#N/A,#N/A,FALSE,"ECCMP";#N/A,#N/A,FALSE,"WELDER.XLS"}</definedName>
    <definedName name="_kvs1" hidden="1">{#N/A,#N/A,FALSE,"COVER1.XLS ";#N/A,#N/A,FALSE,"RACT1.XLS";#N/A,#N/A,FALSE,"RACT2.XLS";#N/A,#N/A,FALSE,"ECCMP";#N/A,#N/A,FALSE,"WELDER.XLS"}</definedName>
    <definedName name="_kvs2" localSheetId="5" hidden="1">{#N/A,#N/A,FALSE,"COVER1.XLS ";#N/A,#N/A,FALSE,"RACT1.XLS";#N/A,#N/A,FALSE,"RACT2.XLS";#N/A,#N/A,FALSE,"ECCMP";#N/A,#N/A,FALSE,"WELDER.XLS"}</definedName>
    <definedName name="_kvs2" hidden="1">{#N/A,#N/A,FALSE,"COVER1.XLS ";#N/A,#N/A,FALSE,"RACT1.XLS";#N/A,#N/A,FALSE,"RACT2.XLS";#N/A,#N/A,FALSE,"ECCMP";#N/A,#N/A,FALSE,"WELDER.XLS"}</definedName>
    <definedName name="_kvs5" localSheetId="5" hidden="1">{#N/A,#N/A,FALSE,"COVER.XLS";#N/A,#N/A,FALSE,"RACT1.XLS";#N/A,#N/A,FALSE,"RACT2.XLS";#N/A,#N/A,FALSE,"ECCMP";#N/A,#N/A,FALSE,"WELDER.XLS"}</definedName>
    <definedName name="_kvs5" hidden="1">{#N/A,#N/A,FALSE,"COVER.XLS";#N/A,#N/A,FALSE,"RACT1.XLS";#N/A,#N/A,FALSE,"RACT2.XLS";#N/A,#N/A,FALSE,"ECCMP";#N/A,#N/A,FALSE,"WELDER.XLS"}</definedName>
    <definedName name="_kvs8" localSheetId="5" hidden="1">{#N/A,#N/A,FALSE,"COVER1.XLS ";#N/A,#N/A,FALSE,"RACT1.XLS";#N/A,#N/A,FALSE,"RACT2.XLS";#N/A,#N/A,FALSE,"ECCMP";#N/A,#N/A,FALSE,"WELDER.XLS"}</definedName>
    <definedName name="_kvs8" hidden="1">{#N/A,#N/A,FALSE,"COVER1.XLS ";#N/A,#N/A,FALSE,"RACT1.XLS";#N/A,#N/A,FALSE,"RACT2.XLS";#N/A,#N/A,FALSE,"ECCMP";#N/A,#N/A,FALSE,"WELDER.XLS"}</definedName>
    <definedName name="_KZT">#REF!</definedName>
    <definedName name="_lap1">#REF!</definedName>
    <definedName name="_lap2">#REF!</definedName>
    <definedName name="_lb1">#REF!</definedName>
    <definedName name="_lb2">#REF!</definedName>
    <definedName name="_lk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x1">#REF!</definedName>
    <definedName name="_Ly1">#REF!</definedName>
    <definedName name="_Lz1">#REF!</definedName>
    <definedName name="_Lz2">#REF!</definedName>
    <definedName name="_m">#REF!</definedName>
    <definedName name="_m20">#REF!</definedName>
    <definedName name="_MAN1">#REF!</definedName>
    <definedName name="_MatInverse_In" hidden="1">#REF!</definedName>
    <definedName name="_MCC3" localSheetId="5" hidden="1">{#N/A,#N/A,FALSE,"CCTV"}</definedName>
    <definedName name="_MCC3" hidden="1">{#N/A,#N/A,FALSE,"CCTV"}</definedName>
    <definedName name="_MDS01">#REF!</definedName>
    <definedName name="_Mew1">#REF!</definedName>
    <definedName name="_Mey1">#REF!</definedName>
    <definedName name="_Mf1">#REF!</definedName>
    <definedName name="_Mf2">#REF!</definedName>
    <definedName name="_mht1">#REF!</definedName>
    <definedName name="_mm1">#REF!</definedName>
    <definedName name="_mm2">#REF!</definedName>
    <definedName name="_mm3">#REF!</definedName>
    <definedName name="_mnk1">#REF!</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sl100">#REF!</definedName>
    <definedName name="_msl200">#REF!</definedName>
    <definedName name="_msl250">#REF!</definedName>
    <definedName name="_msl300">#REF!</definedName>
    <definedName name="_msl400">#REF!</definedName>
    <definedName name="_msl800">#REF!</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MVE01">#REF!</definedName>
    <definedName name="_mw1">#REF!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ET2">#REF!</definedName>
    <definedName name="_np3">'[42]Material '!$G$50</definedName>
    <definedName name="_ns1" localSheetId="5" hidden="1">{#N/A,#N/A,FALSE,"COVER1.XLS ";#N/A,#N/A,FALSE,"RACT1.XLS";#N/A,#N/A,FALSE,"RACT2.XLS";#N/A,#N/A,FALSE,"ECCMP";#N/A,#N/A,FALSE,"WELDER.XLS"}</definedName>
    <definedName name="_ns1" hidden="1">{#N/A,#N/A,FALSE,"COVER1.XLS ";#N/A,#N/A,FALSE,"RACT1.XLS";#N/A,#N/A,FALSE,"RACT2.XLS";#N/A,#N/A,FALSE,"ECCMP";#N/A,#N/A,FALSE,"WELDER.XLS"}</definedName>
    <definedName name="_obm1">#REF!</definedName>
    <definedName name="_obm2">#REF!</definedName>
    <definedName name="_obm3">#REF!</definedName>
    <definedName name="_obm4">#REF!</definedName>
    <definedName name="_Od1">#REF!</definedName>
    <definedName name="_Od3">#REF!</definedName>
    <definedName name="_Od4">#REF!</definedName>
    <definedName name="_Order1" hidden="1">255</definedName>
    <definedName name="_Order2" hidden="1">255</definedName>
    <definedName name="_osf1">#REF!</definedName>
    <definedName name="_osf2">#REF!</definedName>
    <definedName name="_osf3">#REF!</definedName>
    <definedName name="_osf4">#REF!</definedName>
    <definedName name="_PAG01">#REF!</definedName>
    <definedName name="_PAG02">#REF!</definedName>
    <definedName name="_pag3" localSheetId="5">cerca</definedName>
    <definedName name="_pag3">cerca</definedName>
    <definedName name="_Parse_Out" hidden="1">#REF!</definedName>
    <definedName name="_PB1">#REF!</definedName>
    <definedName name="_pcc1">#REF!</definedName>
    <definedName name="_pcc2">#REF!</definedName>
    <definedName name="_pcc3">#REF!</definedName>
    <definedName name="_PCC4">#REF!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fd1" localSheetId="5">cerca</definedName>
    <definedName name="_pfd1">cerca</definedName>
    <definedName name="_PHN01">#REF!</definedName>
    <definedName name="_PHN02">#REF!</definedName>
    <definedName name="_plb1">#REF!</definedName>
    <definedName name="_plb2">#REF!</definedName>
    <definedName name="_plb3">#REF!</definedName>
    <definedName name="_plb4">#REF!</definedName>
    <definedName name="_PPRN3..AF242">#REF!</definedName>
    <definedName name="_PRN1" localSheetId="5" hidden="1">{#N/A,#N/A,FALSE,"COVER.XLS";#N/A,#N/A,FALSE,"RACT1.XLS";#N/A,#N/A,FALSE,"RACT2.XLS";#N/A,#N/A,FALSE,"ECCMP";#N/A,#N/A,FALSE,"WELDER.XLS"}</definedName>
    <definedName name="_PRN1" hidden="1">{#N/A,#N/A,FALSE,"COVER.XLS";#N/A,#N/A,FALSE,"RACT1.XLS";#N/A,#N/A,FALSE,"RACT2.XLS";#N/A,#N/A,FALSE,"ECCMP";#N/A,#N/A,FALSE,"WELDER.XLS"}</definedName>
    <definedName name="_qf1">#REF!</definedName>
    <definedName name="_QQQ1">#REF!</definedName>
    <definedName name="_QTY1">#REF!</definedName>
    <definedName name="_QZ2">#REF!</definedName>
    <definedName name="_r">#REF!</definedName>
    <definedName name="_r1">#REF!</definedName>
    <definedName name="_R10">[40]PERLITE!$O$83</definedName>
    <definedName name="_R2">[40]PERLITE!$B$41</definedName>
    <definedName name="_R3">[40]PERLITE!$B$42</definedName>
    <definedName name="_R4">[40]PERLITE!$B$43</definedName>
    <definedName name="_R5">[40]PERLITE!$B$44</definedName>
    <definedName name="_R6">[40]PERLITE!$E$46</definedName>
    <definedName name="_R6bis">[40]PERLITE!$L$52</definedName>
    <definedName name="_R7">[25]PERLITE!$E$45</definedName>
    <definedName name="_R7post">[40]PERLITE!#REF!</definedName>
    <definedName name="_R8">[40]PERLITE!$E$47</definedName>
    <definedName name="_R9">[40]PERLITE!$L$51</definedName>
    <definedName name="_Re1">#REF!</definedName>
    <definedName name="_Regression_Int" hidden="1">1</definedName>
    <definedName name="_Regression_Out" hidden="1">#REF!</definedName>
    <definedName name="_Regression_X" hidden="1">#REF!</definedName>
    <definedName name="_Regression_Y" hidden="1">#REF!</definedName>
    <definedName name="_REV1">"Texte 161"</definedName>
    <definedName name="_REV2">"Texte 173"</definedName>
    <definedName name="_REV3">"Texte 167"</definedName>
    <definedName name="_REV4">"Texte 179"</definedName>
    <definedName name="_REW1">#REF!</definedName>
    <definedName name="_REW2">#REF!</definedName>
    <definedName name="_RgD">[40]PERLITE!$H$54</definedName>
    <definedName name="_RgE">[40]PERLITE!$H$57</definedName>
    <definedName name="_RgE2">[40]PERLITE!$O$57</definedName>
    <definedName name="_RgF">[40]PERLITE!$H$59</definedName>
    <definedName name="_RGF01">#REF!</definedName>
    <definedName name="_RgF2">[40]PERLITE!$O$59</definedName>
    <definedName name="_RgG">[40]PERLITE!$H$61</definedName>
    <definedName name="_RgG2">[40]PERLITE!$O$61</definedName>
    <definedName name="_RgH2">[40]PERLITE!$O$63</definedName>
    <definedName name="_RgX2">[40]PERLITE!$O$86</definedName>
    <definedName name="_RgY2">[40]PERLITE!$O$89</definedName>
    <definedName name="_RgZ">[40]PERLITE!$E$92</definedName>
    <definedName name="_RHN01">#REF!</definedName>
    <definedName name="_RHN02">#REF!</definedName>
    <definedName name="_RHN03">#REF!</definedName>
    <definedName name="_RHN04">#REF!</definedName>
    <definedName name="_RNC1">#REF!</definedName>
    <definedName name="_ROS1">#REF!</definedName>
    <definedName name="_ROS2">#REF!</definedName>
    <definedName name="_ROW1">#REF!</definedName>
    <definedName name="_ROW2">#REF!</definedName>
    <definedName name="_Rp">[40]PERLITE!$L$46</definedName>
    <definedName name="_rr1">#REF!</definedName>
    <definedName name="_RRR01">#REF!</definedName>
    <definedName name="_Rs1">#REF!</definedName>
    <definedName name="_RTW1">#REF!</definedName>
    <definedName name="_RTW2">#REF!</definedName>
    <definedName name="_RVAE306___DOWN">#REF!</definedName>
    <definedName name="_RVAE358___DOWN">#REF!</definedName>
    <definedName name="_RVAE395___DOWN">#REF!</definedName>
    <definedName name="_RVY53..AE53__">#REF!</definedName>
    <definedName name="_s">#REF!</definedName>
    <definedName name="_S3">#REF!</definedName>
    <definedName name="_sat10">#REF!</definedName>
    <definedName name="_sat12">#REF!</definedName>
    <definedName name="_sat14">#REF!</definedName>
    <definedName name="_sat16">#REF!</definedName>
    <definedName name="_sat20">#REF!</definedName>
    <definedName name="_sat8">#REF!</definedName>
    <definedName name="_sbm1">#REF!</definedName>
    <definedName name="_sbm2">#REF!</definedName>
    <definedName name="_sbm3">#REF!</definedName>
    <definedName name="_sch160">#REF!</definedName>
    <definedName name="_SCH40">#REF!</definedName>
    <definedName name="_sch80">#REF!</definedName>
    <definedName name="_SCR02">#REF!</definedName>
    <definedName name="_SCR03">#REF!</definedName>
    <definedName name="_SCR04">#REF!</definedName>
    <definedName name="_SCR05">#REF!</definedName>
    <definedName name="_SCR06">#REF!</definedName>
    <definedName name="_SCR07">#REF!</definedName>
    <definedName name="_SCR08">#REF!</definedName>
    <definedName name="_SD">[40]PERLITE!$H$53</definedName>
    <definedName name="_SE">[40]PERLITE!$H$56</definedName>
    <definedName name="_SE2">[40]PERLITE!$O$56</definedName>
    <definedName name="_SF">[40]PERLITE!$H$58</definedName>
    <definedName name="_SF2">[40]PERLITE!$O$58</definedName>
    <definedName name="_SF4301">#REF!</definedName>
    <definedName name="_SG">[40]PERLITE!$H$60</definedName>
    <definedName name="_SG2">[40]PERLITE!$O$60</definedName>
    <definedName name="_SH1">#REF!</definedName>
    <definedName name="_SH2">#REF!</definedName>
    <definedName name="_SH3">#REF!</definedName>
    <definedName name="_SH4">#REF!</definedName>
    <definedName name="_SH5">#REF!</definedName>
    <definedName name="_Sh7" localSheetId="5"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ig3">[26]Code!$B$8</definedName>
    <definedName name="_Sig4">[26]Code!$B$9</definedName>
    <definedName name="_Sig5">[26]Code!$B$10</definedName>
    <definedName name="_SMG1" localSheetId="5">'[5]Engg-Exec-2'!#REF!*VLOOKUP('[5]Engg-Exec-2'!$E1,[0]!___________sat14,'[5]Engg-Exec-2'!#REF!+1,FALSE)</definedName>
    <definedName name="_SMG1">'[5]Engg-Exec-2'!#REF!*VLOOKUP('[5]Engg-Exec-2'!$E1,[0]!___________sat14,'[5]Engg-Exec-2'!#REF!+1,FALSE)</definedName>
    <definedName name="_SMG2" localSheetId="5">'[5]Site-Precom-2'!#REF!*VLOOKUP('[5]Site-Precom-2'!$E1,[0]!___________sat14,'[5]Site-Precom-2'!#REF!+1,FALSE)</definedName>
    <definedName name="_SMG2">'[5]Site-Precom-2'!#REF!*VLOOKUP('[5]Site-Precom-2'!$E1,[0]!___________sat14,'[5]Site-Precom-2'!#REF!+1,FALSE)</definedName>
    <definedName name="_Sort" localSheetId="5" hidden="1">#REF!</definedName>
    <definedName name="_Sort" hidden="1">#REF!</definedName>
    <definedName name="_SS04">#REF!</definedName>
    <definedName name="_SS05">#REF!</definedName>
    <definedName name="_SS06">#REF!</definedName>
    <definedName name="_SS07">#REF!</definedName>
    <definedName name="_SS08">#REF!</definedName>
    <definedName name="_SS09">#REF!</definedName>
    <definedName name="_SS10">#REF!</definedName>
    <definedName name="_SS14">#REF!</definedName>
    <definedName name="_SSC1" localSheetId="5" hidden="1">{"'Typical Costs Estimates'!$C$158:$H$161"}</definedName>
    <definedName name="_SSC1" localSheetId="1" hidden="1">{"'Typical Costs Estimates'!$C$158:$H$161"}</definedName>
    <definedName name="_SSC1" hidden="1">{"'Typical Costs Estimates'!$C$158:$H$161"}</definedName>
    <definedName name="_ssf1">#REF!</definedName>
    <definedName name="_ssf2">#REF!</definedName>
    <definedName name="_ssf3">#REF!</definedName>
    <definedName name="_ssf4">#REF!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t1">#REF!</definedName>
    <definedName name="_st2">#REF!</definedName>
    <definedName name="_st3">#REF!</definedName>
    <definedName name="_st4">#REF!</definedName>
    <definedName name="_st5">#REF!</definedName>
    <definedName name="_STDT">#REF!</definedName>
    <definedName name="_STDW">#REF!</definedName>
    <definedName name="_sua20">#REF!</definedName>
    <definedName name="_sua30">#REF!</definedName>
    <definedName name="_sw70609">[15]MTP!#REF!</definedName>
    <definedName name="_SX2">[40]PERLITE!$O$85</definedName>
    <definedName name="_SY2">[40]PERLITE!$O$88</definedName>
    <definedName name="_SZ">[40]PERLITE!$E$91</definedName>
    <definedName name="_t">#REF!</definedName>
    <definedName name="_t1">#REF!</definedName>
    <definedName name="_t2">#REF!</definedName>
    <definedName name="_Table1_In1" hidden="1">[43]inter!#REF!</definedName>
    <definedName name="_Table1_Out" hidden="1">[43]inter!#REF!</definedName>
    <definedName name="_TB2">'[7]SPT vs PHI'!$B$2:$C$65</definedName>
    <definedName name="_te1">#REF!</definedName>
    <definedName name="_TER1">#REF!</definedName>
    <definedName name="_Tk1">#REF!</definedName>
    <definedName name="_Tkl1">#REF!</definedName>
    <definedName name="_tr1"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T1">#REF!</definedName>
    <definedName name="_TT2">#REF!</definedName>
    <definedName name="_TT3">#REF!</definedName>
    <definedName name="_v">#REF!</definedName>
    <definedName name="_v4">#REF!</definedName>
    <definedName name="_vbt150">#REF!</definedName>
    <definedName name="_vbt200">#REF!</definedName>
    <definedName name="_vbt210">#REF!</definedName>
    <definedName name="_vbt300">#REF!</definedName>
    <definedName name="_vbt400">#REF!</definedName>
    <definedName name="_vc1">'[11]CT Thang Mo'!$B$34:$H$34</definedName>
    <definedName name="_vc2">'[11]CT Thang Mo'!$B$35:$H$35</definedName>
    <definedName name="_vc3">'[11]CT Thang Mo'!$B$36:$H$36</definedName>
    <definedName name="_Vew1">#REF!</definedName>
    <definedName name="_Vos1">#REF!</definedName>
    <definedName name="_vxm100">#REF!</definedName>
    <definedName name="_vxm300">#REF!</definedName>
    <definedName name="_vxm500">#REF!</definedName>
    <definedName name="_vxm75">#REF!</definedName>
    <definedName name="_WCP1">#REF!</definedName>
    <definedName name="_WCY0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GZY_">#REF!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O3">#REF!</definedName>
    <definedName name="_Wo4">#REF!</definedName>
    <definedName name="_wo5">#REF!</definedName>
    <definedName name="_wo6">#REF!</definedName>
    <definedName name="_wo7">#REF!</definedName>
    <definedName name="_wo8">#REF!</definedName>
    <definedName name="_WRN1" localSheetId="5" hidden="1">{#N/A,#N/A,FALSE,"COVER1.XLS ";#N/A,#N/A,FALSE,"RACT1.XLS";#N/A,#N/A,FALSE,"RACT2.XLS";#N/A,#N/A,FALSE,"ECCMP";#N/A,#N/A,FALSE,"WELDER.XLS"}</definedName>
    <definedName name="_WRN1" hidden="1">{#N/A,#N/A,FALSE,"COVER1.XLS ";#N/A,#N/A,FALSE,"RACT1.XLS";#N/A,#N/A,FALSE,"RACT2.XLS";#N/A,#N/A,FALSE,"ECCMP";#N/A,#N/A,FALSE,"WELDER.XLS"}</definedName>
    <definedName name="_WRN2" localSheetId="5" hidden="1">{#N/A,#N/A,FALSE,"COVER1.XLS ";#N/A,#N/A,FALSE,"RACT1.XLS";#N/A,#N/A,FALSE,"RACT2.XLS";#N/A,#N/A,FALSE,"ECCMP";#N/A,#N/A,FALSE,"WELDER.XLS"}</definedName>
    <definedName name="_WRN2" hidden="1">{#N/A,#N/A,FALSE,"COVER1.XLS ";#N/A,#N/A,FALSE,"RACT1.XLS";#N/A,#N/A,FALSE,"RACT2.XLS";#N/A,#N/A,FALSE,"ECCMP";#N/A,#N/A,FALSE,"WELDER.XLS"}</definedName>
    <definedName name="_WRN3" localSheetId="5" hidden="1">{#N/A,#N/A,FALSE,"consu_cover";#N/A,#N/A,FALSE,"consu_strategy";#N/A,#N/A,FALSE,"consu_flow";#N/A,#N/A,FALSE,"Summary_reqmt";#N/A,#N/A,FALSE,"field_ppg";#N/A,#N/A,FALSE,"ppg_shop";#N/A,#N/A,FALSE,"strl";#N/A,#N/A,FALSE,"tankages";#N/A,#N/A,FALSE,"gases"}</definedName>
    <definedName name="_WRN3" hidden="1">{#N/A,#N/A,FALSE,"consu_cover";#N/A,#N/A,FALSE,"consu_strategy";#N/A,#N/A,FALSE,"consu_flow";#N/A,#N/A,FALSE,"Summary_reqmt";#N/A,#N/A,FALSE,"field_ppg";#N/A,#N/A,FALSE,"ppg_shop";#N/A,#N/A,FALSE,"strl";#N/A,#N/A,FALSE,"tankages";#N/A,#N/A,FALSE,"gases"}</definedName>
    <definedName name="_wsb5">#REF!</definedName>
    <definedName name="_WW01">#REF!</definedName>
    <definedName name="_WW02">#REF!</definedName>
    <definedName name="_WW03">#REF!</definedName>
    <definedName name="_WWW1">#REF!</definedName>
    <definedName name="_WWW2">#REF!</definedName>
    <definedName name="_WWW3">#REF!</definedName>
    <definedName name="_xa1">#REF!</definedName>
    <definedName name="_XST">#REF!</definedName>
    <definedName name="_XSW">#REF!</definedName>
    <definedName name="_XXST">#REF!</definedName>
    <definedName name="_XXSW">#REF!</definedName>
    <definedName name="_Y69999">#REF!</definedName>
    <definedName name="_Y71819">#REF!</definedName>
    <definedName name="_Y79999">#REF!</definedName>
    <definedName name="_Y89999">#REF!</definedName>
    <definedName name="_Y90650">#REF!</definedName>
    <definedName name="_Y99999">#REF!</definedName>
    <definedName name="´cAE°eE¹" hidden="1">#REF!</definedName>
    <definedName name="￠￥cAE¡ÆeEⓒo" hidden="1">#REF!</definedName>
    <definedName name="a">[44]BOQ!#REF!</definedName>
    <definedName name="å">#REF!</definedName>
    <definedName name="a_">[40]PERLITE!$F$66</definedName>
    <definedName name="a___0">#REF!</definedName>
    <definedName name="a___13">#REF!</definedName>
    <definedName name="A_3100INQ">#REF!</definedName>
    <definedName name="A_3100REV">#REF!</definedName>
    <definedName name="A_3200INQ">#REF!</definedName>
    <definedName name="A_3200REV">#REF!</definedName>
    <definedName name="a_dash">#REF!</definedName>
    <definedName name="A_EQUIP">#REF!</definedName>
    <definedName name="A_impresión_IM">#REF!</definedName>
    <definedName name="A_LABOR">#REF!</definedName>
    <definedName name="A_MATL">#REF!</definedName>
    <definedName name="A_MH">#REF!</definedName>
    <definedName name="A_OTHER">#REF!</definedName>
    <definedName name="A_REV_TOTAL">#REF!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2_">#REF!</definedName>
    <definedName name="A2____0">#REF!</definedName>
    <definedName name="A2____13">#REF!</definedName>
    <definedName name="a277Print_Titles">#REF!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[45]!ListBox13_Change</definedName>
    <definedName name="aaaa">#REF!</definedName>
    <definedName name="aaaa_1">#REF!</definedName>
    <definedName name="aaaaa" localSheetId="5" hidden="1">{"'照明目录'!$A$1:$H$31"}</definedName>
    <definedName name="aaaaa" hidden="1">{"'照明目录'!$A$1:$H$31"}</definedName>
    <definedName name="aaaaaaa" localSheetId="5"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dfdfdfdddf">#REF!</definedName>
    <definedName name="aaffa" localSheetId="5" hidden="1">{#N/A,#N/A,FALSE,"COVER.XLS";#N/A,#N/A,FALSE,"RACT1.XLS";#N/A,#N/A,FALSE,"RACT2.XLS";#N/A,#N/A,FALSE,"ECCMP";#N/A,#N/A,FALSE,"WELDER.XLS"}</definedName>
    <definedName name="aaffa" hidden="1">{#N/A,#N/A,FALSE,"COVER.XLS";#N/A,#N/A,FALSE,"RACT1.XLS";#N/A,#N/A,FALSE,"RACT2.XLS";#N/A,#N/A,FALSE,"ECCMP";#N/A,#N/A,FALSE,"WELDER.XLS"}</definedName>
    <definedName name="AAS">#REF!</definedName>
    <definedName name="aAXX1">#REF!</definedName>
    <definedName name="AB">'[46]Back_Cal_for OMC'!$A$15:$B$40</definedName>
    <definedName name="aba" localSheetId="5" hidden="1">{#N/A,#N/A,FALSE,"COVER1.XLS ";#N/A,#N/A,FALSE,"RACT1.XLS";#N/A,#N/A,FALSE,"RACT2.XLS";#N/A,#N/A,FALSE,"ECCMP";#N/A,#N/A,FALSE,"WELDER.XLS"}</definedName>
    <definedName name="aba" hidden="1">{#N/A,#N/A,FALSE,"COVER1.XLS ";#N/A,#N/A,FALSE,"RACT1.XLS";#N/A,#N/A,FALSE,"RACT2.XLS";#N/A,#N/A,FALSE,"ECCMP";#N/A,#N/A,FALSE,"WELDER.XLS"}</definedName>
    <definedName name="abc">[47]basdat!#REF!</definedName>
    <definedName name="ABCD">'[46]Back_Cal_for OMC'!$A$42:$B$45</definedName>
    <definedName name="ABSHSHHD">#REF!</definedName>
    <definedName name="abst" localSheetId="5" hidden="1">{#N/A,#N/A,TRUE,"Front";#N/A,#N/A,TRUE,"Simple Letter";#N/A,#N/A,TRUE,"Inside";#N/A,#N/A,TRUE,"Contents";#N/A,#N/A,TRUE,"Basis";#N/A,#N/A,TRUE,"Inclusions";#N/A,#N/A,TRUE,"Exclusions";#N/A,#N/A,TRUE,"Areas";#N/A,#N/A,TRUE,"Summary";#N/A,#N/A,TRUE,"Detail"}</definedName>
    <definedName name="abst" hidden="1">{#N/A,#N/A,TRUE,"Front";#N/A,#N/A,TRUE,"Simple Letter";#N/A,#N/A,TRUE,"Inside";#N/A,#N/A,TRUE,"Contents";#N/A,#N/A,TRUE,"Basis";#N/A,#N/A,TRUE,"Inclusions";#N/A,#N/A,TRUE,"Exclusions";#N/A,#N/A,TRUE,"Areas";#N/A,#N/A,TRUE,"Summary";#N/A,#N/A,TRUE,"Detail"}</definedName>
    <definedName name="absth" localSheetId="5"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#REF!</definedName>
    <definedName name="Ac">#REF!</definedName>
    <definedName name="ACC">#REF!</definedName>
    <definedName name="ACC_PRICE">[48]VLOOKUP!$Q$15:$R$18</definedName>
    <definedName name="ACC_PROD">#REF!</definedName>
    <definedName name="Access_Button" hidden="1">"Overall_Civil_List"</definedName>
    <definedName name="AccessDatabase" hidden="1">"D:\MIS\TALLY  31.09.04 sep\AS PER TALLY 31.09.04.mdb"</definedName>
    <definedName name="AccessSort">#REF!</definedName>
    <definedName name="ACT">#REF!</definedName>
    <definedName name="ACT_1">#REF!</definedName>
    <definedName name="ACTIVITY">#REF!</definedName>
    <definedName name="acv">#REF!</definedName>
    <definedName name="ada" localSheetId="5"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localSheetId="5" hidden="1">{#N/A,#N/A,FALSE,"COVER1.XLS ";#N/A,#N/A,FALSE,"RACT1.XLS";#N/A,#N/A,FALSE,"RACT2.XLS";#N/A,#N/A,FALSE,"ECCMP";#N/A,#N/A,FALSE,"WELDER.XLS"}</definedName>
    <definedName name="adadd" hidden="1">{#N/A,#N/A,FALSE,"COVER1.XLS ";#N/A,#N/A,FALSE,"RACT1.XLS";#N/A,#N/A,FALSE,"RACT2.XLS";#N/A,#N/A,FALSE,"ECCMP";#N/A,#N/A,FALSE,"WELDER.XLS"}</definedName>
    <definedName name="ADAY">#REF!</definedName>
    <definedName name="ADD_IN_VERSION">#REF!</definedName>
    <definedName name="Address">#REF!</definedName>
    <definedName name="adefew">#REF!</definedName>
    <definedName name="ader">#REF!</definedName>
    <definedName name="adf" localSheetId="5" hidden="1">{#N/A,#N/A,FALSE,"COVER1.XLS ";#N/A,#N/A,FALSE,"RACT1.XLS";#N/A,#N/A,FALSE,"RACT2.XLS";#N/A,#N/A,FALSE,"ECCMP";#N/A,#N/A,FALSE,"WELDER.XLS"}</definedName>
    <definedName name="adf" hidden="1">{#N/A,#N/A,FALSE,"COVER1.XLS ";#N/A,#N/A,FALSE,"RACT1.XLS";#N/A,#N/A,FALSE,"RACT2.XLS";#N/A,#N/A,FALSE,"ECCMP";#N/A,#N/A,FALSE,"WELDER.XLS"}</definedName>
    <definedName name="adfewf">#REF!</definedName>
    <definedName name="ADFFG">#REF!</definedName>
    <definedName name="ADFGFG">#REF!</definedName>
    <definedName name="aditya" localSheetId="5"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s" localSheetId="5" hidden="1">{#N/A,#N/A,FALSE,"COVER1.XLS ";#N/A,#N/A,FALSE,"RACT1.XLS";#N/A,#N/A,FALSE,"RACT2.XLS";#N/A,#N/A,FALSE,"ECCMP";#N/A,#N/A,FALSE,"WELDER.XLS"}</definedName>
    <definedName name="ads" hidden="1">{#N/A,#N/A,FALSE,"COVER1.XLS ";#N/A,#N/A,FALSE,"RACT1.XLS";#N/A,#N/A,FALSE,"RACT2.XLS";#N/A,#N/A,FALSE,"ECCMP";#N/A,#N/A,FALSE,"WELDER.XLS"}</definedName>
    <definedName name="adsDD">#REF!</definedName>
    <definedName name="ADSS">#REF!</definedName>
    <definedName name="Af">#REF!</definedName>
    <definedName name="afaef">#REF!</definedName>
    <definedName name="afdasgh" localSheetId="5" hidden="1">{#N/A,#N/A,FALSE,"CCTV"}</definedName>
    <definedName name="afdasgh" hidden="1">{#N/A,#N/A,FALSE,"CCTV"}</definedName>
    <definedName name="afdsfdg" localSheetId="5" hidden="1">{#N/A,#N/A,FALSE,"CCTV"}</definedName>
    <definedName name="afdsfdg" hidden="1">{#N/A,#N/A,FALSE,"CCTV"}</definedName>
    <definedName name="afffgff" localSheetId="5" hidden="1">{#N/A,#N/A,FALSE,"CCTV"}</definedName>
    <definedName name="afffgff" hidden="1">{#N/A,#N/A,FALSE,"CCTV"}</definedName>
    <definedName name="AFSDF">#REF!</definedName>
    <definedName name="Ag">[49]Design!#REF!</definedName>
    <definedName name="Ag___0">#REF!</definedName>
    <definedName name="Ag___13">#REF!</definedName>
    <definedName name="AH" localSheetId="5" hidden="1">{#N/A,#N/A,FALSE,"CCTV"}</definedName>
    <definedName name="AH" hidden="1">{#N/A,#N/A,FALSE,"CCTV"}</definedName>
    <definedName name="Ahnew">[50]Airy!$B$21</definedName>
    <definedName name="aho">#REF!</definedName>
    <definedName name="ai">#REF!</definedName>
    <definedName name="aioSignal">#REF!,#REF!,#REF!,#REF!,#REF!,#REF!</definedName>
    <definedName name="Air_density">#REF!</definedName>
    <definedName name="AIR_PIPE">#REF!</definedName>
    <definedName name="aircompressor">#REF!</definedName>
    <definedName name="Al_B">#REF!</definedName>
    <definedName name="Al_DO">#REF!</definedName>
    <definedName name="Al_L">#REF!</definedName>
    <definedName name="Al_SP">#REF!</definedName>
    <definedName name="ALG298_ALMLIST_ERROR_COL">[51]ALG298_ALMLIST!#REF!</definedName>
    <definedName name="ALG298_CABLES_ERROR_COL">#REF!</definedName>
    <definedName name="ALG298_E_CONSUMERS_ERROR_COL">#REF!</definedName>
    <definedName name="ALG298_MEASUREMENT_ERROR_COL">#REF!</definedName>
    <definedName name="ALG298_SIGNALS_ERROR_COL">#REF!</definedName>
    <definedName name="All_Item">#REF!</definedName>
    <definedName name="All_sides_simply_supported_Concentrated_point_load">#REF!</definedName>
    <definedName name="alp">[40]PERLITE!$E$41</definedName>
    <definedName name="alpha">'[52]FT-05-02IsoBOM'!#REF!</definedName>
    <definedName name="alphanew">#REF!</definedName>
    <definedName name="ALPIN">#N/A</definedName>
    <definedName name="ALPJYOU">#N/A</definedName>
    <definedName name="alpT">[40]PERLITE!$B$71</definedName>
    <definedName name="ALPTOI">#N/A</definedName>
    <definedName name="Alw">#REF!</definedName>
    <definedName name="Amax">#REF!</definedName>
    <definedName name="Amend_Matl">#REF!</definedName>
    <definedName name="Amend_MD">#REF!</definedName>
    <definedName name="Amend_Total_Matl">#REF!</definedName>
    <definedName name="Amend_Total_MD">#REF!</definedName>
    <definedName name="Aminul">#REF!</definedName>
    <definedName name="amit">#REF!</definedName>
    <definedName name="AMT">[21]Closing!$G$20</definedName>
    <definedName name="an">#REF!</definedName>
    <definedName name="Analysis" localSheetId="5">#REF!</definedName>
    <definedName name="Analysis">#REF!</definedName>
    <definedName name="anchor">#REF!</definedName>
    <definedName name="ang">#REF!</definedName>
    <definedName name="ang_">#REF!</definedName>
    <definedName name="Angle_Section_Properties">#REF!</definedName>
    <definedName name="Anne">#REF!</definedName>
    <definedName name="annealing">#REF!</definedName>
    <definedName name="annealing1">#REF!</definedName>
    <definedName name="Annexur">'[53]sc-mar2000'!$B$1:$AF$29</definedName>
    <definedName name="anscount" hidden="1">1</definedName>
    <definedName name="ANX3A16.1">[54]ANX3A11!$A$10:$C$101</definedName>
    <definedName name="Ap">#REF!</definedName>
    <definedName name="Aped1">#REF!</definedName>
    <definedName name="Aped2">#REF!</definedName>
    <definedName name="APPLI">[55]Calendar!$I$1:$I$65536</definedName>
    <definedName name="APPROUVE1">"Texte 166"</definedName>
    <definedName name="APPROUVE2">"Texte 178"</definedName>
    <definedName name="APPROUVE3">"Texte 172"</definedName>
    <definedName name="APPROUVE4">"Texte 184"</definedName>
    <definedName name="AppType">#REF!</definedName>
    <definedName name="april_qty">#REF!</definedName>
    <definedName name="AQWS"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#REF!</definedName>
    <definedName name="Arao" localSheetId="5" hidden="1">{"'Sheet1'!$A$4386:$N$4591"}</definedName>
    <definedName name="Arao" hidden="1">{"'Sheet1'!$A$4386:$N$4591"}</definedName>
    <definedName name="AREA">#REF!</definedName>
    <definedName name="AREA_CODE">[55]Calendar!#REF!</definedName>
    <definedName name="AREA_CODE_1">#REF!</definedName>
    <definedName name="AREACODE">#REF!</definedName>
    <definedName name="ARUNA" hidden="1">#REF!</definedName>
    <definedName name="ARUNA1" hidden="1">#REF!</definedName>
    <definedName name="as">[44]BOQ!#REF!</definedName>
    <definedName name="AS_">#REF!</definedName>
    <definedName name="AS1_">#REF!</definedName>
    <definedName name="asa" localSheetId="5" hidden="1">{#N/A,#N/A,FALSE,"COVER1.XLS ";#N/A,#N/A,FALSE,"RACT1.XLS";#N/A,#N/A,FALSE,"RACT2.XLS";#N/A,#N/A,FALSE,"ECCMP";#N/A,#N/A,FALSE,"WELDER.XLS"}</definedName>
    <definedName name="asa" hidden="1">{#N/A,#N/A,FALSE,"COVER1.XLS ";#N/A,#N/A,FALSE,"RACT1.XLS";#N/A,#N/A,FALSE,"RACT2.XLS";#N/A,#N/A,FALSE,"ECCMP";#N/A,#N/A,FALSE,"WELDER.XLS"}</definedName>
    <definedName name="asad" localSheetId="5" hidden="1">{#N/A,#N/A,FALSE,"str_title";#N/A,#N/A,FALSE,"SUM";#N/A,#N/A,FALSE,"Scope";#N/A,#N/A,FALSE,"PIE-Jn";#N/A,#N/A,FALSE,"PIE-Jn_Hz";#N/A,#N/A,FALSE,"Liq_Plan";#N/A,#N/A,FALSE,"S_Curve";#N/A,#N/A,FALSE,"Liq_Prof";#N/A,#N/A,FALSE,"Man_Pwr";#N/A,#N/A,FALSE,"Man_Prof"}</definedName>
    <definedName name="asad" hidden="1">{#N/A,#N/A,FALSE,"str_title";#N/A,#N/A,FALSE,"SUM";#N/A,#N/A,FALSE,"Scope";#N/A,#N/A,FALSE,"PIE-Jn";#N/A,#N/A,FALSE,"PIE-Jn_Hz";#N/A,#N/A,FALSE,"Liq_Plan";#N/A,#N/A,FALSE,"S_Curve";#N/A,#N/A,FALSE,"Liq_Prof";#N/A,#N/A,FALSE,"Man_Pwr";#N/A,#N/A,FALSE,"Man_Prof"}</definedName>
    <definedName name="asas" localSheetId="5" hidden="1">{"'照明目录'!$A$1:$H$31"}</definedName>
    <definedName name="asas" hidden="1">{"'照明目录'!$A$1:$H$31"}</definedName>
    <definedName name="asasa">#REF!</definedName>
    <definedName name="asasas">#REF!</definedName>
    <definedName name="ASCII">#REF!</definedName>
    <definedName name="ASD">#REF!</definedName>
    <definedName name="asddfr">[56]Elect.!#REF!</definedName>
    <definedName name="asdf" hidden="1">#REF!</definedName>
    <definedName name="ASFFFF">#REF!</definedName>
    <definedName name="ASHOKA">#REF!</definedName>
    <definedName name="ASP">#REF!</definedName>
    <definedName name="aspan">#REF!</definedName>
    <definedName name="ASS">#REF!</definedName>
    <definedName name="ass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S">#REF!</definedName>
    <definedName name="Ast">#REF!</definedName>
    <definedName name="Ast_">#REF!</definedName>
    <definedName name="at">#REF!</definedName>
    <definedName name="atf">#REF!</definedName>
    <definedName name="ATRAM">#REF!</definedName>
    <definedName name="att">#REF!</definedName>
    <definedName name="Atx">#REF!</definedName>
    <definedName name="Atz">#REF!</definedName>
    <definedName name="Austenitic">[57]stress!$A$13:$A$27</definedName>
    <definedName name="AUTHOR">#REF!</definedName>
    <definedName name="AUTRE_REF">"Texte 152"</definedName>
    <definedName name="avb">'[58]288-1'!#REF!</definedName>
    <definedName name="Aw">[59]Airy!$F$9</definedName>
    <definedName name="AWHT">#REF!</definedName>
    <definedName name="Ax">#REF!</definedName>
    <definedName name="AXI">#REF!</definedName>
    <definedName name="AXI_">#REF!</definedName>
    <definedName name="AZ" hidden="1">#REF!</definedName>
    <definedName name="B">#REF!</definedName>
    <definedName name="B.S">#REF!</definedName>
    <definedName name="B_">#REF!</definedName>
    <definedName name="B___0">#REF!</definedName>
    <definedName name="B___13">#REF!</definedName>
    <definedName name="b_1">#REF!</definedName>
    <definedName name="B_10">#REF!</definedName>
    <definedName name="B_11">#REF!</definedName>
    <definedName name="b_12">#REF!</definedName>
    <definedName name="b_4">#REF!</definedName>
    <definedName name="B_8">#REF!</definedName>
    <definedName name="B_9">#REF!</definedName>
    <definedName name="b_dash">#REF!</definedName>
    <definedName name="B_OK_Click">[60]!B_OK_Click</definedName>
    <definedName name="B_VND">0.05</definedName>
    <definedName name="B_YEN">0.1</definedName>
    <definedName name="b0">#REF!</definedName>
    <definedName name="b1x">#REF!</definedName>
    <definedName name="b2_">[40]PERLITE!$P$44</definedName>
    <definedName name="b2x">#REF!</definedName>
    <definedName name="ballies">'[42]Material '!$G$31</definedName>
    <definedName name="Bang_cly">#REF!</definedName>
    <definedName name="Bang_CVC">#REF!</definedName>
    <definedName name="bang_gia">#REF!</definedName>
    <definedName name="Bang_travl">#REF!</definedName>
    <definedName name="baroda">#REF!</definedName>
    <definedName name="base">#REF!</definedName>
    <definedName name="Base_MATL">#REF!</definedName>
    <definedName name="Base_MD">#REF!</definedName>
    <definedName name="BASE_SHEAR">#REF!</definedName>
    <definedName name="Base_Total_Matl">#REF!</definedName>
    <definedName name="Base_Total_MD">#REF!</definedName>
    <definedName name="baseend">#REF!</definedName>
    <definedName name="baseend1">#REF!</definedName>
    <definedName name="BASIC">[61]BASIC!$A$3:$AJ$39</definedName>
    <definedName name="batch">'[62]4 Annex 1 Basic rate'!#REF!</definedName>
    <definedName name="BB" localSheetId="5" hidden="1">{"'Sheet1'!$A$4386:$N$4591"}</definedName>
    <definedName name="BB" hidden="1">{"'Sheet1'!$A$4386:$N$4591"}</definedName>
    <definedName name="bbase">#REF!</definedName>
    <definedName name="BBB">[45]!OptionButton21_Click</definedName>
    <definedName name="bbbbb" localSheetId="5" hidden="1">{"'照明目录'!$A$1:$H$31"}</definedName>
    <definedName name="bbbbb" hidden="1">{"'照明目录'!$A$1:$H$31"}</definedName>
    <definedName name="bbbbbb" localSheetId="5" hidden="1">{"'照明目录'!$A$1:$H$31"}</definedName>
    <definedName name="bbbbbb" hidden="1">{"'照明目录'!$A$1:$H$31"}</definedName>
    <definedName name="bbc">'[63]SYSTEM 945 Air&amp;Nitrogen'!#REF!</definedName>
    <definedName name="bbn">'[64]SYSTEM 945 Air&amp;Nitrogen'!#REF!</definedName>
    <definedName name="BC" hidden="1">[65]analysis!#REF!</definedName>
    <definedName name="BD" hidden="1">[65]analysis!#REF!</definedName>
    <definedName name="BDAY">#REF!</definedName>
    <definedName name="bdfgdfg">#REF!</definedName>
    <definedName name="bds" localSheetId="5" hidden="1">{"'Typical Costs Estimates'!$C$158:$H$161"}</definedName>
    <definedName name="bds" localSheetId="1" hidden="1">{"'Typical Costs Estimates'!$C$158:$H$161"}</definedName>
    <definedName name="bds" hidden="1">{"'Typical Costs Estimates'!$C$158:$H$161"}</definedName>
    <definedName name="BE" hidden="1">[65]analysis!#REF!</definedName>
    <definedName name="bechtel_cement_lined">#REF!</definedName>
    <definedName name="bectel_valve">'[61]Bechtel Norms'!$A$42:$F$73</definedName>
    <definedName name="Bellary" hidden="1">#REF!</definedName>
    <definedName name="BENDS_45°_ASTM_A74_HUB_TYPE_CAST_IRON_SOIL_FITTINGS__BELL_AND_SPIGOT">"data"</definedName>
    <definedName name="bentonite">#REF!</definedName>
    <definedName name="beta">#REF!</definedName>
    <definedName name="beta11">#REF!</definedName>
    <definedName name="beta12">#REF!</definedName>
    <definedName name="bf">#REF!</definedName>
    <definedName name="BF1_">#REF!</definedName>
    <definedName name="BF2_">#REF!</definedName>
    <definedName name="BF3_">#REF!</definedName>
    <definedName name="bfa">#REF!</definedName>
    <definedName name="bfbfdhfdhdfgh" localSheetId="5" hidden="1">{#N/A,#N/A,FALSE,"CCTV"}</definedName>
    <definedName name="bfbfdhfdhdfgh" hidden="1">{#N/A,#N/A,FALSE,"CCTV"}</definedName>
    <definedName name="BFBS">#REF!</definedName>
    <definedName name="bfdyjh">#REF!</definedName>
    <definedName name="BFES">#REF!</definedName>
    <definedName name="bfi">#REF!</definedName>
    <definedName name="BFS">#REF!</definedName>
    <definedName name="bft">#REF!</definedName>
    <definedName name="BG" hidden="1">[65]analysis!#REF!</definedName>
    <definedName name="BH" hidden="1">[65]analysis!#REF!</definedName>
    <definedName name="Bhh">'[58]288-1'!#REF!</definedName>
    <definedName name="BHU">#REF!</definedName>
    <definedName name="Bhw">'[58]288-1'!#REF!</definedName>
    <definedName name="BIN">#REF!</definedName>
    <definedName name="BJ" hidden="1">[65]analysis!#REF!</definedName>
    <definedName name="bjlc">#REF!</definedName>
    <definedName name="Blank1">OR(ISBLANK(#REF!),ISBLANK(#REF!))</definedName>
    <definedName name="Blank10">OR(ISBLANK(#REF!),ISBLANK(#REF!))</definedName>
    <definedName name="Blank11">OR(ISBLANK(#REF!),ISBLANK(#REF!))</definedName>
    <definedName name="Blank12">OR(ISBLANK(#REF!),ISBLANK(#REF!))</definedName>
    <definedName name="Blank13">OR(ISBLANK(#REF!),ISBLANK(#REF!))</definedName>
    <definedName name="Blank14">OR(ISBLANK(#REF!),ISBLANK(#REF!))</definedName>
    <definedName name="Blank15">OR(ISBLANK(#REF!),ISBLANK(#REF!))</definedName>
    <definedName name="Blank16">OR(ISBLANK(#REF!),ISBLANK(#REF!))</definedName>
    <definedName name="Blank17">OR(ISBLANK(#REF!),ISBLANK(#REF!))</definedName>
    <definedName name="Blank18">OR(ISBLANK(#REF!),ISBLANK(#REF!))</definedName>
    <definedName name="Blank19">OR(N([5]Cont!#REF!)=0,N([5]Cont!$G1)=0)</definedName>
    <definedName name="Blank20">OR(N([5]Cont!#REF!)=0,N([5]Cont!$M1)=0)</definedName>
    <definedName name="Blank21">OR(ISBLANK(#REF!),ISBLANK(#REF!))</definedName>
    <definedName name="Blank22">OR(ISBLANK(#REF!),ISBLANK(#REF!))</definedName>
    <definedName name="Blank23">OR(ISBLANK(#REF!),ISBLANK(#REF!))</definedName>
    <definedName name="Blank24">OR(ISBLANK(#REF!),ISBLANK(#REF!),ISBLANK(#REF!),ISBLANK(#REF!),ISBLANK(#REF!))</definedName>
    <definedName name="Blank25">OR(N([5]Cont!#REF!)=0,N([5]Cont!$P1)=0)</definedName>
    <definedName name="Bld_Eq">#REF!</definedName>
    <definedName name="BLDG">[66]LEGEND!$D$8</definedName>
    <definedName name="BlkS">[67]Basicrates!$D$145</definedName>
    <definedName name="BLOCK1">#REF!</definedName>
    <definedName name="Block13">OR(ISBLANK(#REF!),ISBLANK(#REF!))</definedName>
    <definedName name="BLOCK2">#REF!</definedName>
    <definedName name="BLUELETTERS">#REF!,#REF!,#REF!,#REF!,#REF!,#REF!</definedName>
    <definedName name="BM" localSheetId="5" hidden="1">{#N/A,#N/A,FALSE,"CCTV"}</definedName>
    <definedName name="BM" hidden="1">{#N/A,#N/A,FALSE,"CCTV"}</definedName>
    <definedName name="BM.1">#REF!</definedName>
    <definedName name="BM.AFC">#REF!</definedName>
    <definedName name="bo">#REF!</definedName>
    <definedName name="boa">#REF!</definedName>
    <definedName name="bol">#REF!</definedName>
    <definedName name="bolt">#REF!</definedName>
    <definedName name="BOLT1A">#REF!</definedName>
    <definedName name="BOLT2">#REF!</definedName>
    <definedName name="boml">#REF!</definedName>
    <definedName name="bondstone">'[42]Material '!$G$40</definedName>
    <definedName name="Book1">#REF!</definedName>
    <definedName name="Book2">#REF!</definedName>
    <definedName name="BOQ" localSheetId="5">#REF!</definedName>
    <definedName name="BOQ">#REF!</definedName>
    <definedName name="BOQ_New" localSheetId="5" hidden="1">{#N/A,#N/A,TRUE,"Front";#N/A,#N/A,TRUE,"Simple Letter";#N/A,#N/A,TRUE,"Inside";#N/A,#N/A,TRUE,"Contents";#N/A,#N/A,TRUE,"Basis";#N/A,#N/A,TRUE,"Inclusions";#N/A,#N/A,TRUE,"Exclusions";#N/A,#N/A,TRUE,"Areas";#N/A,#N/A,TRUE,"Summary";#N/A,#N/A,TRUE,"Detail"}</definedName>
    <definedName name="BOQ_New" hidden="1">{#N/A,#N/A,TRUE,"Front";#N/A,#N/A,TRUE,"Simple Letter";#N/A,#N/A,TRUE,"Inside";#N/A,#N/A,TRUE,"Contents";#N/A,#N/A,TRUE,"Basis";#N/A,#N/A,TRUE,"Inclusions";#N/A,#N/A,TRUE,"Exclusions";#N/A,#N/A,TRUE,"Areas";#N/A,#N/A,TRUE,"Summary";#N/A,#N/A,TRUE,"Detail"}</definedName>
    <definedName name="boq_type">#REF!</definedName>
    <definedName name="boq_version">[68]Config!$C$2:$C$3</definedName>
    <definedName name="BORDER">#REF!</definedName>
    <definedName name="botas">#REF!</definedName>
    <definedName name="botdia">#REF!</definedName>
    <definedName name="botinterval">#REF!</definedName>
    <definedName name="botl">#REF!</definedName>
    <definedName name="botmax">#REF!</definedName>
    <definedName name="botn">#REF!</definedName>
    <definedName name="Bouton12_QuandClic">'[29]PM Demolition '!Bouton12_QuandClic</definedName>
    <definedName name="Bouton13_QuandClic">'[29]PM Demolition '!Bouton13_QuandClic</definedName>
    <definedName name="Bp">#REF!</definedName>
    <definedName name="BPR_B1">#REF!</definedName>
    <definedName name="BPR_B2">#REF!</definedName>
    <definedName name="BPR_B3">#REF!</definedName>
    <definedName name="BPR_B4">#REF!</definedName>
    <definedName name="BPR_B9">#REF!</definedName>
    <definedName name="BPR_H">#REF!</definedName>
    <definedName name="BPR_U">#REF!</definedName>
    <definedName name="BPR_U03">#REF!</definedName>
    <definedName name="BPRT_A">#REF!</definedName>
    <definedName name="BPRT_B14">#REF!</definedName>
    <definedName name="BPRT_B5">#REF!</definedName>
    <definedName name="BPRT_B6">#REF!</definedName>
    <definedName name="BPRT_B7">#REF!</definedName>
    <definedName name="BPRT_B8">#REF!</definedName>
    <definedName name="BPRT_B9">#REF!</definedName>
    <definedName name="BPRT_C">#REF!</definedName>
    <definedName name="BPRT_F">#REF!</definedName>
    <definedName name="BPRT_K">#REF!</definedName>
    <definedName name="BPRT_L">#REF!</definedName>
    <definedName name="BPRT_M">#REF!</definedName>
    <definedName name="BPRT_U">#REF!</definedName>
    <definedName name="BQ">#REF!</definedName>
    <definedName name="BQ_Area">#REF!</definedName>
    <definedName name="BQA">#REF!</definedName>
    <definedName name="BQC">#REF!</definedName>
    <definedName name="BQF">#REF!</definedName>
    <definedName name="BQH">#REF!</definedName>
    <definedName name="BQK">#REF!</definedName>
    <definedName name="BQL">#REF!</definedName>
    <definedName name="BQM">#REF!</definedName>
    <definedName name="BQU">#REF!</definedName>
    <definedName name="Breaks">#REF!</definedName>
    <definedName name="bs">#REF!</definedName>
    <definedName name="BT">#REF!</definedName>
    <definedName name="btchiuaxitm300">#REF!</definedName>
    <definedName name="BTchiuaxm200">#REF!</definedName>
    <definedName name="btcocM400">#REF!</definedName>
    <definedName name="btcocnhoi">#REF!</definedName>
    <definedName name="bthk">#REF!</definedName>
    <definedName name="BTlotm100">#REF!</definedName>
    <definedName name="BTRAM">#REF!</definedName>
    <definedName name="bua">#REF!</definedName>
    <definedName name="BUDDHA">#REF!</definedName>
    <definedName name="building">'[69]DETAILED  BOQ'!$A$2</definedName>
    <definedName name="building___0">'[22]ANNEXURE-A'!$A$2</definedName>
    <definedName name="building___11">'[22]ANNEXURE-A'!$A$2</definedName>
    <definedName name="building___12">'[22]ANNEXURE-A'!$A$2</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Titles">NA()</definedName>
    <definedName name="BuiltIn_Print_Titles___0">NA()</definedName>
    <definedName name="BuiltIn_Print_Titles___0___0">NA()</definedName>
    <definedName name="BuiltIn_Print_Titles___0___0___0">NA()</definedName>
    <definedName name="Burden">[70]Bidform!#REF!</definedName>
    <definedName name="butt_w">[40]MTO!$K$97</definedName>
    <definedName name="BV" hidden="1">#REF!</definedName>
    <definedName name="bvbcv">#REF!</definedName>
    <definedName name="bvbcvb" localSheetId="5" hidden="1">{#N/A,#N/A,FALSE,"CCTV"}</definedName>
    <definedName name="bvbcvb" hidden="1">{#N/A,#N/A,FALSE,"CCTV"}</definedName>
    <definedName name="bvbvbbvvb">'[71]3MLKQ'!#REF!</definedName>
    <definedName name="bvbvbvbv">#REF!</definedName>
    <definedName name="bvbvhg">'[71]3MLKQ'!$C$3</definedName>
    <definedName name="BVCISUMMARY">#REF!</definedName>
    <definedName name="Bw">[59]Airy!$F$10</definedName>
    <definedName name="bwcg">[47]basdat!#REF!</definedName>
    <definedName name="bwi">#REF!</definedName>
    <definedName name="bwmc">[47]basdat!#REF!</definedName>
    <definedName name="bwms">[47]basdat!#REF!</definedName>
    <definedName name="bwt">#REF!</definedName>
    <definedName name="Bx">#REF!</definedName>
    <definedName name="Bx___0">#REF!</definedName>
    <definedName name="Bx___13">#REF!</definedName>
    <definedName name="By">#REF!</definedName>
    <definedName name="Bz">#REF!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b" localSheetId="5" hidden="1">{#N/A,#N/A,TRUE,"Front";#N/A,#N/A,TRUE,"Simple Letter";#N/A,#N/A,TRUE,"Inside";#N/A,#N/A,TRUE,"Contents";#N/A,#N/A,TRUE,"Basis";#N/A,#N/A,TRUE,"Inclusions";#N/A,#N/A,TRUE,"Exclusions";#N/A,#N/A,TRUE,"Areas";#N/A,#N/A,TRUE,"Summary";#N/A,#N/A,TRUE,"Detail"}</definedName>
    <definedName name="c.b" hidden="1">{#N/A,#N/A,TRUE,"Front";#N/A,#N/A,TRUE,"Simple Letter";#N/A,#N/A,TRUE,"Inside";#N/A,#N/A,TRUE,"Contents";#N/A,#N/A,TRUE,"Basis";#N/A,#N/A,TRUE,"Inclusions";#N/A,#N/A,TRUE,"Exclusions";#N/A,#N/A,TRUE,"Areas";#N/A,#N/A,TRUE,"Summary";#N/A,#N/A,TRUE,"Detail"}</definedName>
    <definedName name="C.C">'[72]232V-010'!#REF!</definedName>
    <definedName name="C.C.Road">'[73]Gen Info'!$B$34:$B$57</definedName>
    <definedName name="C_">#REF!</definedName>
    <definedName name="C__">#REF!</definedName>
    <definedName name="C_ctn">'[40]INNER TANK'!$E$5</definedName>
    <definedName name="c_margin">#REF!</definedName>
    <definedName name="C_VND">0.03</definedName>
    <definedName name="C_YEN">0.1</definedName>
    <definedName name="CA">#REF!</definedName>
    <definedName name="CA_70">#REF!</definedName>
    <definedName name="CAB">#REF!</definedName>
    <definedName name="CABLE">#REF!</definedName>
    <definedName name="CableList">#REF!</definedName>
    <definedName name="CablesToExport1">#REF!</definedName>
    <definedName name="CablesToExport2">#REF!</definedName>
    <definedName name="CablesToExport3">#REF!</definedName>
    <definedName name="CablesToExport4">#REF!</definedName>
    <definedName name="CablesToExport5">#REF!</definedName>
    <definedName name="CablesToExport6">#REF!</definedName>
    <definedName name="cabletrays">#N/A</definedName>
    <definedName name="CAL_A1">#REF!</definedName>
    <definedName name="cant">'[74]Staff Acco.'!#REF!</definedName>
    <definedName name="cap">#REF!</definedName>
    <definedName name="cap0.7">#REF!</definedName>
    <definedName name="CAPACITY">#REF!</definedName>
    <definedName name="CAR">#REF!</definedName>
    <definedName name="CARL" localSheetId="5" hidden="1">{#N/A,#N/A,FALSE,"CCTV"}</definedName>
    <definedName name="CARL" hidden="1">{#N/A,#N/A,FALSE,"CCTV"}</definedName>
    <definedName name="CARL1" localSheetId="5" hidden="1">{#N/A,#N/A,FALSE,"CCTV"}</definedName>
    <definedName name="CARL1" hidden="1">{#N/A,#N/A,FALSE,"CCTV"}</definedName>
    <definedName name="CARL2" localSheetId="5" hidden="1">{#N/A,#N/A,FALSE,"CCTV"}</definedName>
    <definedName name="CARL2" hidden="1">{#N/A,#N/A,FALSE,"CCTV"}</definedName>
    <definedName name="carp" localSheetId="5" hidden="1">{#N/A,#N/A,TRUE,"Front";#N/A,#N/A,TRUE,"Simple Letter";#N/A,#N/A,TRUE,"Inside";#N/A,#N/A,TRUE,"Contents";#N/A,#N/A,TRUE,"Basis";#N/A,#N/A,TRUE,"Inclusions";#N/A,#N/A,TRUE,"Exclusions";#N/A,#N/A,TRUE,"Areas";#N/A,#N/A,TRUE,"Summary";#N/A,#N/A,TRUE,"Detail"}</definedName>
    <definedName name="carp" hidden="1">{#N/A,#N/A,TRUE,"Front";#N/A,#N/A,TRUE,"Simple Letter";#N/A,#N/A,TRUE,"Inside";#N/A,#N/A,TRUE,"Contents";#N/A,#N/A,TRUE,"Basis";#N/A,#N/A,TRUE,"Inclusions";#N/A,#N/A,TRUE,"Exclusions";#N/A,#N/A,TRUE,"Areas";#N/A,#N/A,TRUE,"Summary";#N/A,#N/A,TRUE,"Detail"}</definedName>
    <definedName name="carpet">#REF!</definedName>
    <definedName name="carpet___0">#REF!</definedName>
    <definedName name="carpet___11">#REF!</definedName>
    <definedName name="carpet___12">#REF!</definedName>
    <definedName name="carpg" localSheetId="5" hidden="1">{#N/A,#N/A,TRUE,"Front";#N/A,#N/A,TRUE,"Simple Letter";#N/A,#N/A,TRUE,"Inside";#N/A,#N/A,TRUE,"Contents";#N/A,#N/A,TRUE,"Basis";#N/A,#N/A,TRUE,"Inclusions";#N/A,#N/A,TRUE,"Exclusions";#N/A,#N/A,TRUE,"Areas";#N/A,#N/A,TRUE,"Summary";#N/A,#N/A,TRUE,"Detail"}</definedName>
    <definedName name="carpg" hidden="1">{#N/A,#N/A,TRUE,"Front";#N/A,#N/A,TRUE,"Simple Letter";#N/A,#N/A,TRUE,"Inside";#N/A,#N/A,TRUE,"Contents";#N/A,#N/A,TRUE,"Basis";#N/A,#N/A,TRUE,"Inclusions";#N/A,#N/A,TRUE,"Exclusions";#N/A,#N/A,TRUE,"Areas";#N/A,#N/A,TRUE,"Summary";#N/A,#N/A,TRUE,"Detail"}</definedName>
    <definedName name="carpnm" localSheetId="5"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SH">#REF!</definedName>
    <definedName name="CATEG">#REF!</definedName>
    <definedName name="CATEGORY">#N/A</definedName>
    <definedName name="Category_All">#REF!</definedName>
    <definedName name="CATIN">#N/A</definedName>
    <definedName name="CATJYOU">#N/A</definedName>
    <definedName name="CATREC">#N/A</definedName>
    <definedName name="CATSYU">#N/A</definedName>
    <definedName name="Caùp_ñoàng_traàn_75mm2">#REF!</definedName>
    <definedName name="CAZZO">#REF!</definedName>
    <definedName name="cbbvbcvb">#REF!</definedName>
    <definedName name="cbgl1">#REF!</definedName>
    <definedName name="cbgl2">#REF!</definedName>
    <definedName name="cbgl3">#REF!</definedName>
    <definedName name="cbgl4">#REF!</definedName>
    <definedName name="Cbot">'[58]288-1'!#REF!</definedName>
    <definedName name="CC">#REF!</definedName>
    <definedName name="ccc"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CCCC">[75]Inventory!$AF$11</definedName>
    <definedName name="CCNK">[76]QMCT!#REF!</definedName>
    <definedName name="ccolagl">#REF!</definedName>
    <definedName name="ccs">'[77]sc-mar2000'!$B$1:$AF$29</definedName>
    <definedName name="ccs_1">#REF!</definedName>
    <definedName name="ccvcv">#REF!</definedName>
    <definedName name="Cd">[59]Airy!$B$27</definedName>
    <definedName name="CDAY">#REF!</definedName>
    <definedName name="Cdnum">#REF!</definedName>
    <definedName name="Cdt">#REF!</definedName>
    <definedName name="CDTotale">[21]Closing!$G$30</definedName>
    <definedName name="CDTst">[21]Closing!$G$29</definedName>
    <definedName name="cdu" localSheetId="5" hidden="1">{#N/A,#N/A,FALSE,"COVER.XLS";#N/A,#N/A,FALSE,"RACT1.XLS";#N/A,#N/A,FALSE,"RACT2.XLS";#N/A,#N/A,FALSE,"ECCMP";#N/A,#N/A,FALSE,"WELDER.XLS"}</definedName>
    <definedName name="cdu" hidden="1">{#N/A,#N/A,FALSE,"COVER.XLS";#N/A,#N/A,FALSE,"RACT1.XLS";#N/A,#N/A,FALSE,"RACT2.XLS";#N/A,#N/A,FALSE,"ECCMP";#N/A,#N/A,FALSE,"WELDER.XLS"}</definedName>
    <definedName name="CEMAS3">[78]ANAL!#REF!</definedName>
    <definedName name="cement">[39]Analysis!$D$343</definedName>
    <definedName name="Cement_124">#REF!</definedName>
    <definedName name="cerca">#N/A</definedName>
    <definedName name="cerca_1">#N/A</definedName>
    <definedName name="cerca_10">#N/A</definedName>
    <definedName name="cerca_11">#N/A</definedName>
    <definedName name="cerca_12">#N/A</definedName>
    <definedName name="cerca_4">#N/A</definedName>
    <definedName name="cerca_6">#N/A</definedName>
    <definedName name="cerca_7">#N/A</definedName>
    <definedName name="cerca_8">#N/A</definedName>
    <definedName name="cerca_9">#N/A</definedName>
    <definedName name="cf" localSheetId="5" hidden="1">{#N/A,#N/A,TRUE,"Front";#N/A,#N/A,TRUE,"Simple Letter";#N/A,#N/A,TRUE,"Inside";#N/A,#N/A,TRUE,"Contents";#N/A,#N/A,TRUE,"Basis";#N/A,#N/A,TRUE,"Inclusions";#N/A,#N/A,TRUE,"Exclusions";#N/A,#N/A,TRUE,"Areas";#N/A,#N/A,TRUE,"Summary";#N/A,#N/A,TRUE,"Detail"}</definedName>
    <definedName name="cf" hidden="1">{#N/A,#N/A,TRUE,"Front";#N/A,#N/A,TRUE,"Simple Letter";#N/A,#N/A,TRUE,"Inside";#N/A,#N/A,TRUE,"Contents";#N/A,#N/A,TRUE,"Basis";#N/A,#N/A,TRUE,"Inclusions";#N/A,#N/A,TRUE,"Exclusions";#N/A,#N/A,TRUE,"Areas";#N/A,#N/A,TRUE,"Summary";#N/A,#N/A,TRUE,"Detail"}</definedName>
    <definedName name="CF_TBL">#REF!</definedName>
    <definedName name="cfb">#REF!</definedName>
    <definedName name="cfbeams">#REF!</definedName>
    <definedName name="cfk">#REF!</definedName>
    <definedName name="cflo" localSheetId="5" hidden="1">{"CASH FLOW",#N/A,FALSE,"A"}</definedName>
    <definedName name="cflo" hidden="1">{"CASH FLOW",#N/A,FALSE,"A"}</definedName>
    <definedName name="cfsalb">#REF!</definedName>
    <definedName name="cfslab">#REF!</definedName>
    <definedName name="cg">#REF!</definedName>
    <definedName name="Cgrade">'[58]288-1'!#REF!</definedName>
    <definedName name="CHAPNAME">#REF!</definedName>
    <definedName name="CHAPNO">#REF!</definedName>
    <definedName name="Check">'[79]BOQ-Highways'!#REF!</definedName>
    <definedName name="Check_for_column_stability">'[35]Main '!#REF!</definedName>
    <definedName name="CheckBox80_Click">[80]!CheckBox80_Click</definedName>
    <definedName name="checked">#REF!</definedName>
    <definedName name="CHECKER">#REF!</definedName>
    <definedName name="Chi_tieát_phi">#REF!</definedName>
    <definedName name="chiyoko">#REF!</definedName>
    <definedName name="Choix">'[29]PM Demolition '!Choix</definedName>
    <definedName name="chrck">#REF!</definedName>
    <definedName name="CHRIS" localSheetId="5" hidden="1">{#N/A,#N/A,FALSE,"CCTV"}</definedName>
    <definedName name="CHRIS" hidden="1">{#N/A,#N/A,FALSE,"CCTV"}</definedName>
    <definedName name="chung">66</definedName>
    <definedName name="ci" localSheetId="5" hidden="1">{"'照明目录'!$A$1:$H$31"}</definedName>
    <definedName name="ci" hidden="1">{"'照明目录'!$A$1:$H$31"}</definedName>
    <definedName name="City">#REF!</definedName>
    <definedName name="Civil_Eq">#REF!</definedName>
    <definedName name="cjkbncdef">#REF!</definedName>
    <definedName name="CK">#REF!</definedName>
    <definedName name="CKTCODE">[81]FDRS!$14:$164</definedName>
    <definedName name="CL" localSheetId="5" hidden="1">{"Execavation",#N/A,FALSE,"furniture (employer)"}</definedName>
    <definedName name="CL" hidden="1">{"Execavation",#N/A,FALSE,"furniture (employer)"}</definedName>
    <definedName name="Cl.Preforma" localSheetId="5" hidden="1">{"Execavation",#N/A,FALSE,"furniture (employer)"}</definedName>
    <definedName name="Cl.Preforma" hidden="1">{"Execavation",#N/A,FALSE,"furniture (employer)"}</definedName>
    <definedName name="Cl_abs">#REF!</definedName>
    <definedName name="CLAIMB" localSheetId="5" hidden="1">{"Execavation",#N/A,FALSE,"furniture (employer)"}</definedName>
    <definedName name="CLAIMB" hidden="1">{"Execavation",#N/A,FALSE,"furniture (employer)"}</definedName>
    <definedName name="CLAIMSB" localSheetId="5" hidden="1">{"Execavation",#N/A,FALSE,"furniture (employer)"}</definedName>
    <definedName name="CLAIMSB" hidden="1">{"Execavation",#N/A,FALSE,"furniture (employer)"}</definedName>
    <definedName name="CLASS">[82]CLASS!#REF!</definedName>
    <definedName name="Class_end">[5]Ranges!#REF!</definedName>
    <definedName name="Class_start">[5]Ranges!#REF!</definedName>
    <definedName name="CLASS2">[82]CLASS!$A$1:$A$53</definedName>
    <definedName name="CLASS3">[83]CLASS!$C$1:$C$65536</definedName>
    <definedName name="class4">#REF!</definedName>
    <definedName name="clc">#REF!</definedName>
    <definedName name="CLIENT">[66]LEGEND!$D$6</definedName>
    <definedName name="CLIENT1">"Texte 153"</definedName>
    <definedName name="CLIENT2">"Texte 154"</definedName>
    <definedName name="clientd">#REF!</definedName>
    <definedName name="CLIENTE">#REF!</definedName>
    <definedName name="clintels">#REF!</definedName>
    <definedName name="CLM" localSheetId="5" hidden="1">{"Execavation",#N/A,FALSE,"furniture (employer)"}</definedName>
    <definedName name="CLM" hidden="1">{"Execavation",#N/A,FALSE,"furniture (employer)"}</definedName>
    <definedName name="CLTMP">[76]QMCT!#REF!</definedName>
    <definedName name="CM">#REF!</definedName>
    <definedName name="CM_14">#REF!</definedName>
    <definedName name="cM_143">[39]Analysis!$D$77</definedName>
    <definedName name="CMO">#REF!</definedName>
    <definedName name="Cnm">[84]Contents!$A$6</definedName>
    <definedName name="CO">#REF!</definedName>
    <definedName name="CO_">#REF!</definedName>
    <definedName name="Co_B">#REF!</definedName>
    <definedName name="Co_DO">#REF!</definedName>
    <definedName name="Co_FP">#REF!</definedName>
    <definedName name="Co_JBP">#REF!</definedName>
    <definedName name="Co_L">#REF!</definedName>
    <definedName name="Co_NL">#REF!</definedName>
    <definedName name="Co_SP">#REF!</definedName>
    <definedName name="COA_10">#REF!</definedName>
    <definedName name="COA_11">'[85]COA-17'!#REF!</definedName>
    <definedName name="COA_12">'[85]COA-17'!#REF!</definedName>
    <definedName name="COA_13">'[85]COA-17'!#REF!</definedName>
    <definedName name="COA_14">'[85]COA-17'!#REF!</definedName>
    <definedName name="COA_15">'[85]COA-17'!#REF!</definedName>
    <definedName name="COA_16">'[85]COA-17'!#REF!</definedName>
    <definedName name="COA_17">'[85]COA-17'!#REF!</definedName>
    <definedName name="COA_18">'[85]COA-17'!#REF!</definedName>
    <definedName name="COA_19">'[85]COA-17'!#REF!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c">#REF!</definedName>
    <definedName name="Code" hidden="1">#REF!</definedName>
    <definedName name="Code_Unit_01">#REF!</definedName>
    <definedName name="CODE1610">'[86]Electrical R01'!#REF!</definedName>
    <definedName name="CODE1620">'[86]Electrical R01'!#REF!</definedName>
    <definedName name="CODE1621">'[86]Electrical R01'!#REF!</definedName>
    <definedName name="CODE1622">'[86]Electrical R01'!#REF!</definedName>
    <definedName name="CODE1623">'[86]Electrical R01'!#REF!</definedName>
    <definedName name="CODE1624">'[86]Electrical R01'!#REF!</definedName>
    <definedName name="CODE1625">'[86]Electrical R01'!#REF!</definedName>
    <definedName name="CODE1626">'[86]Electrical R01'!#REF!</definedName>
    <definedName name="CODE1627">'[86]Electrical R01'!#REF!</definedName>
    <definedName name="CODE1628">'[86]Electrical R01'!#REF!</definedName>
    <definedName name="CODE1630">'[86]Electrical R01'!#REF!</definedName>
    <definedName name="CODE1631">'[86]Electrical R01'!#REF!</definedName>
    <definedName name="CODE1632">'[86]Electrical R01'!#REF!</definedName>
    <definedName name="CODE1633">'[86]Electrical R01'!#REF!</definedName>
    <definedName name="CODE1634">'[86]Electrical R01'!#REF!</definedName>
    <definedName name="CODE1635">'[86]Electrical R01'!#REF!</definedName>
    <definedName name="CODE1636">'[86]Electrical R01'!#REF!</definedName>
    <definedName name="CODE1637">'[86]Electrical R01'!#REF!</definedName>
    <definedName name="CODE1638">'[86]Electrical R01'!#REF!</definedName>
    <definedName name="CODE1640">'[86]Electrical R01'!#REF!</definedName>
    <definedName name="CODE164101">'[86]Electrical R01'!#REF!</definedName>
    <definedName name="CODE164102">'[86]Electrical R01'!#REF!</definedName>
    <definedName name="CODE164103">'[86]Electrical R01'!#REF!</definedName>
    <definedName name="CODE164104">'[86]Electrical R01'!#REF!</definedName>
    <definedName name="CODE164105">'[86]Electrical R01'!#REF!</definedName>
    <definedName name="CODE1650">'[86]Electrical R01'!#REF!</definedName>
    <definedName name="CODE1651">'[86]Electrical R01'!#REF!</definedName>
    <definedName name="CODE165101">'[86]Electrical R01'!#REF!</definedName>
    <definedName name="CODE165102">'[86]Electrical R01'!#REF!</definedName>
    <definedName name="code165103">'[86]Electrical R01'!#REF!</definedName>
    <definedName name="CODE1652">'[86]Electrical R01'!#REF!</definedName>
    <definedName name="CODE1653">'[86]Electrical R01'!#REF!</definedName>
    <definedName name="CODE1654">'[86]Electrical R01'!#REF!</definedName>
    <definedName name="CODE1655">'[86]Electrical R01'!#REF!</definedName>
    <definedName name="CODE1656">'[86]Electrical R01'!#REF!</definedName>
    <definedName name="CODE1657">'[86]Electrical R01'!#REF!</definedName>
    <definedName name="CODE1660">'[86]Electrical R01'!#REF!</definedName>
    <definedName name="CODE1661">'[86]Electrical R01'!#REF!</definedName>
    <definedName name="CODE1662">'[86]Electrical R01'!#REF!</definedName>
    <definedName name="CODE1663">'[86]Electrical R01'!#REF!</definedName>
    <definedName name="CODE1664">'[86]Electrical R01'!#REF!</definedName>
    <definedName name="CODE1665">'[86]Electrical R01'!#REF!</definedName>
    <definedName name="code1668">'[86]Electrical R01'!#REF!</definedName>
    <definedName name="CODE1670">'[86]Electrical R01'!#REF!</definedName>
    <definedName name="CODE1671">'[86]Electrical R01'!#REF!</definedName>
    <definedName name="CODE1672">'[86]Electrical R01'!#REF!</definedName>
    <definedName name="CODE1680">'[86]Electrical R01'!#REF!</definedName>
    <definedName name="CODE1681">'[86]Electrical R01'!#REF!</definedName>
    <definedName name="CODE1682">'[86]Electrical R01'!#REF!</definedName>
    <definedName name="CODE1684">'[86]Electrical R01'!#REF!</definedName>
    <definedName name="CODE1687">'[86]Electrical R01'!#REF!</definedName>
    <definedName name="CODE1690">'[86]Electrical R01'!#REF!</definedName>
    <definedName name="CODE1691">'[86]Electrical R01'!#REF!</definedName>
    <definedName name="CODE1692">'[86]Electrical R01'!#REF!</definedName>
    <definedName name="CODE1693">'[86]Electrical R01'!#REF!</definedName>
    <definedName name="CODE1694">'[86]Electrical R01'!#REF!</definedName>
    <definedName name="CODE1695">'[86]Electrical R01'!#REF!</definedName>
    <definedName name="CODE1696">'[86]Electrical R01'!#REF!</definedName>
    <definedName name="CODES">'[40]Codes,...'!$B$3:$D$5</definedName>
    <definedName name="col">#REF!</definedName>
    <definedName name="col___0">#REF!</definedName>
    <definedName name="col___11">#REF!</definedName>
    <definedName name="col___12">#REF!</definedName>
    <definedName name="Colbgl">#REF!</definedName>
    <definedName name="colbgl2">#REF!</definedName>
    <definedName name="Collaborator">[5]User!#REF!</definedName>
    <definedName name="Columns">#REF!</definedName>
    <definedName name="CombLinewiseMTO">#REF!</definedName>
    <definedName name="CombLinewiseMTO_MRRD">#REF!</definedName>
    <definedName name="COMMESSA">#REF!</definedName>
    <definedName name="COMMON">#REF!</definedName>
    <definedName name="Comp14101">#REF!</definedName>
    <definedName name="Comp15001">#REF!</definedName>
    <definedName name="Comp15002">#REF!</definedName>
    <definedName name="Comp16001">#REF!</definedName>
    <definedName name="Comp17001">#REF!</definedName>
    <definedName name="Comp17101">#REF!</definedName>
    <definedName name="Comp18001">#REF!</definedName>
    <definedName name="Comp19001">#REF!</definedName>
    <definedName name="Comp19002">#REF!</definedName>
    <definedName name="Comp20003">#REF!</definedName>
    <definedName name="Company">#REF!</definedName>
    <definedName name="Comparision" localSheetId="5" hidden="1">{"'Sheet1'!$A$4386:$N$4591"}</definedName>
    <definedName name="Comparision" hidden="1">{"'Sheet1'!$A$4386:$N$4591"}</definedName>
    <definedName name="COMPLETE">#REF!</definedName>
    <definedName name="CON_EQP_COS">#REF!</definedName>
    <definedName name="con_fact">#REF!</definedName>
    <definedName name="conanalysis" localSheetId="5" hidden="1">{#N/A,#N/A,TRUE,"Front";#N/A,#N/A,TRUE,"Simple Letter";#N/A,#N/A,TRUE,"Inside";#N/A,#N/A,TRUE,"Contents";#N/A,#N/A,TRUE,"Basis";#N/A,#N/A,TRUE,"Inclusions";#N/A,#N/A,TRUE,"Exclusions";#N/A,#N/A,TRUE,"Areas";#N/A,#N/A,TRUE,"Summary";#N/A,#N/A,TRUE,"Detail"}</definedName>
    <definedName name="conanalysis" hidden="1">{#N/A,#N/A,TRUE,"Front";#N/A,#N/A,TRUE,"Simple Letter";#N/A,#N/A,TRUE,"Inside";#N/A,#N/A,TRUE,"Contents";#N/A,#N/A,TRUE,"Basis";#N/A,#N/A,TRUE,"Inclusions";#N/A,#N/A,TRUE,"Exclusions";#N/A,#N/A,TRUE,"Areas";#N/A,#N/A,TRUE,"Summary";#N/A,#N/A,TRUE,"Detail"}</definedName>
    <definedName name="conc">#REF!</definedName>
    <definedName name="CONC25">#REF!</definedName>
    <definedName name="CONC30">#REF!</definedName>
    <definedName name="Concrete">'[87]DGchitiet '!#REF!</definedName>
    <definedName name="CONCS25">#REF!</definedName>
    <definedName name="CONCS30">#REF!</definedName>
    <definedName name="Cong_HM_DTCT">#REF!</definedName>
    <definedName name="Cong_M_DTCT">#REF!</definedName>
    <definedName name="Cong_NC_DTCT">#REF!</definedName>
    <definedName name="Cong_VL_DTCT">#REF!</definedName>
    <definedName name="cons_unit_cost">#REF!</definedName>
    <definedName name="consommateurs">#REF!</definedName>
    <definedName name="CONSUM">#REF!</definedName>
    <definedName name="CONT">#REF!</definedName>
    <definedName name="contactSignal">#REF!,#REF!</definedName>
    <definedName name="Contractor">#REF!</definedName>
    <definedName name="controlV">#REF!</definedName>
    <definedName name="convent">#REF!</definedName>
    <definedName name="Convent.">#REF!</definedName>
    <definedName name="conversion_type">[68]Config!$E$2:$E$3</definedName>
    <definedName name="COP">#REF!</definedName>
    <definedName name="COPY01">#REF!</definedName>
    <definedName name="corrosion_allowance">#REF!</definedName>
    <definedName name="COS">'[88]?????-1'!#REF!</definedName>
    <definedName name="Cost">#REF!</definedName>
    <definedName name="Cost_List">#REF!</definedName>
    <definedName name="costing">#REF!</definedName>
    <definedName name="cot7.5">#REF!</definedName>
    <definedName name="cot8.5">#REF!</definedName>
    <definedName name="COU">#REF!</definedName>
    <definedName name="COU___0">#REF!</definedName>
    <definedName name="COU___13">#REF!</definedName>
    <definedName name="Country">#REF!</definedName>
    <definedName name="cov">'[58]288-1'!#REF!</definedName>
    <definedName name="cover">#REF!</definedName>
    <definedName name="COVER_1">'[89]F.D.'!#REF!</definedName>
    <definedName name="COVER_PAG">'[90]F.D.'!#REF!</definedName>
    <definedName name="COVER50">[91]CAT_5!#REF!</definedName>
    <definedName name="CoverSheet">[92]DESIGN!#REF!</definedName>
    <definedName name="CP">#REF!</definedName>
    <definedName name="cp_syst">#REF!</definedName>
    <definedName name="cpc">#REF!</definedName>
    <definedName name="cplhsmt">[93]!cplhsmt</definedName>
    <definedName name="cptdhsmt">[93]!cptdhsmt</definedName>
    <definedName name="cptdtdt">[93]!cptdtdt</definedName>
    <definedName name="cptdtkkt">[93]!cptdtkkt</definedName>
    <definedName name="CRACK">[34]!CRACK</definedName>
    <definedName name="CreateRangeName">[45]!CreateRangeName</definedName>
    <definedName name="CREATOR">#REF!</definedName>
    <definedName name="CRIT" localSheetId="5" hidden="1">{#N/A,#N/A,FALSE,"consu_cover";#N/A,#N/A,FALSE,"consu_strategy";#N/A,#N/A,FALSE,"consu_flow";#N/A,#N/A,FALSE,"Summary_reqmt";#N/A,#N/A,FALSE,"field_ppg";#N/A,#N/A,FALSE,"ppg_shop";#N/A,#N/A,FALSE,"strl";#N/A,#N/A,FALSE,"tankages";#N/A,#N/A,FALSE,"gases"}</definedName>
    <definedName name="CRIT" hidden="1">{#N/A,#N/A,FALSE,"consu_cover";#N/A,#N/A,FALSE,"consu_strategy";#N/A,#N/A,FALSE,"consu_flow";#N/A,#N/A,FALSE,"Summary_reqmt";#N/A,#N/A,FALSE,"field_ppg";#N/A,#N/A,FALSE,"ppg_shop";#N/A,#N/A,FALSE,"strl";#N/A,#N/A,FALSE,"tankages";#N/A,#N/A,FALSE,"gases"}</definedName>
    <definedName name="CRITERE">#REF!</definedName>
    <definedName name="_xlnm.Criteria">#REF!</definedName>
    <definedName name="Criteria_MI">#REF!</definedName>
    <definedName name="Criteria_MI_1">#REF!</definedName>
    <definedName name="CRITIC">#REF!</definedName>
    <definedName name="CRITICAL" localSheetId="5" hidden="1">{#N/A,#N/A,FALSE,"consu_cover";#N/A,#N/A,FALSE,"consu_strategy";#N/A,#N/A,FALSE,"consu_flow";#N/A,#N/A,FALSE,"Summary_reqmt";#N/A,#N/A,FALSE,"field_ppg";#N/A,#N/A,FALSE,"ppg_shop";#N/A,#N/A,FALSE,"strl";#N/A,#N/A,FALSE,"tankages";#N/A,#N/A,FALSE,"gases"}</definedName>
    <definedName name="CRITICAL" hidden="1">{#N/A,#N/A,FALSE,"consu_cover";#N/A,#N/A,FALSE,"consu_strategy";#N/A,#N/A,FALSE,"consu_flow";#N/A,#N/A,FALSE,"Summary_reqmt";#N/A,#N/A,FALSE,"field_ppg";#N/A,#N/A,FALSE,"ppg_shop";#N/A,#N/A,FALSE,"strl";#N/A,#N/A,FALSE,"tankages";#N/A,#N/A,FALSE,"gases"}</definedName>
    <definedName name="CRITINST">#REF!</definedName>
    <definedName name="CRITPURC">#REF!</definedName>
    <definedName name="crsr" hidden="1">[65]analysis!#REF!</definedName>
    <definedName name="crsr1" hidden="1">[65]analysis!#REF!</definedName>
    <definedName name="crsr2" hidden="1">[65]analysis!#REF!</definedName>
    <definedName name="crsr3" hidden="1">[65]analysis!#REF!</definedName>
    <definedName name="crush_s">#REF!</definedName>
    <definedName name="CS">#REF!</definedName>
    <definedName name="Cs___0">#REF!</definedName>
    <definedName name="Cs___13">#REF!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asibr">#REF!</definedName>
    <definedName name="CS_STD">#REF!</definedName>
    <definedName name="CS_XS">#REF!</definedName>
    <definedName name="CS_XXS">#REF!</definedName>
    <definedName name="csid">'[58]288-1'!#REF!</definedName>
    <definedName name="CSS">#REF!</definedName>
    <definedName name="csshade">#REF!</definedName>
    <definedName name="cst">#REF!</definedName>
    <definedName name="cstvat">#REF!</definedName>
    <definedName name="ctdn9697">#REF!</definedName>
    <definedName name="ctiep">#REF!</definedName>
    <definedName name="CTRAM">#REF!</definedName>
    <definedName name="CU_LY">#REF!</definedName>
    <definedName name="cummeas_may1006">#REF!</definedName>
    <definedName name="cummeas_up_to_mar">#REF!</definedName>
    <definedName name="cuoc_vc">#REF!</definedName>
    <definedName name="CurDate">#REF!</definedName>
    <definedName name="Curr">#REF!</definedName>
    <definedName name="Currency">#REF!</definedName>
    <definedName name="Currency_Mat">#REF!</definedName>
    <definedName name="currency_name">[68]Config!$F$2:$F$8</definedName>
    <definedName name="CURRENT_UNIT">#REF!</definedName>
    <definedName name="current1">'[94]FT-05-02IsoBOM'!#REF!</definedName>
    <definedName name="current2">'[94]FT-05-02IsoBOM'!#REF!</definedName>
    <definedName name="current3">'[94]FT-05-02IsoBOM'!#REF!</definedName>
    <definedName name="current4">'[94]FT-05-02IsoBOM'!#REF!</definedName>
    <definedName name="current5">'[94]FT-05-02IsoBOM'!#REF!</definedName>
    <definedName name="CurRev">#REF!</definedName>
    <definedName name="CurrRev">#REF!</definedName>
    <definedName name="CurrTabl">#REF!</definedName>
    <definedName name="CURVE" localSheetId="5" hidden="1">{#N/A,#N/A,FALSE,"COVER1.XLS ";#N/A,#N/A,FALSE,"RACT1.XLS";#N/A,#N/A,FALSE,"RACT2.XLS";#N/A,#N/A,FALSE,"ECCMP";#N/A,#N/A,FALSE,"WELDER.XLS"}</definedName>
    <definedName name="CURVE" hidden="1">{#N/A,#N/A,FALSE,"COVER1.XLS ";#N/A,#N/A,FALSE,"RACT1.XLS";#N/A,#N/A,FALSE,"RACT2.XLS";#N/A,#N/A,FALSE,"ECCMP";#N/A,#N/A,FALSE,"WELDER.XLS"}</definedName>
    <definedName name="CV" hidden="1">#NAME?</definedName>
    <definedName name="CV_1">'[85]C-18'!#REF!</definedName>
    <definedName name="CV_11">'[85]C-18'!#REF!</definedName>
    <definedName name="CV_12">'[85]C-18'!#REF!</definedName>
    <definedName name="CV_13">'[85]C-18'!#REF!</definedName>
    <definedName name="CV_14">'[85]C-18'!#REF!</definedName>
    <definedName name="CV_15">'[85]C-18'!#REF!</definedName>
    <definedName name="CV_16">'[85]C-18'!#REF!</definedName>
    <definedName name="CV_17">'[85]C-18'!#REF!</definedName>
    <definedName name="CV_18">#REF!</definedName>
    <definedName name="CV_19">'[85]C-18'!#REF!</definedName>
    <definedName name="CV_20">'[85]C-18'!#REF!</definedName>
    <definedName name="CV_30">'[85]C-18'!#REF!</definedName>
    <definedName name="CV_40">'[85]C-18'!#REF!</definedName>
    <definedName name="CV_50">'[85]C-18'!#REF!</definedName>
    <definedName name="CV_60">'[85]C-18'!#REF!</definedName>
    <definedName name="CV_70">'[85]C-18'!#REF!</definedName>
    <definedName name="CV_80">'[85]C-18'!#REF!</definedName>
    <definedName name="cvnbvnbvnn">#REF!</definedName>
    <definedName name="CW_Matrix">[95]CW!$G$4:$T$180</definedName>
    <definedName name="cx">'[96]Design of Isolated Footing'!#REF!</definedName>
    <definedName name="Cy">#REF!</definedName>
    <definedName name="cz">'[96]Design of Isolated Footing'!#REF!</definedName>
    <definedName name="D">#REF!</definedName>
    <definedName name="D_">#REF!</definedName>
    <definedName name="d___0">#REF!</definedName>
    <definedName name="d___13">#REF!</definedName>
    <definedName name="D_cold">'[40]INNER TANK'!$E$12</definedName>
    <definedName name="D_L">'[40]INNER TANK'!$E$21</definedName>
    <definedName name="d_r">[25]MTO!$O$101</definedName>
    <definedName name="D_warm">'[40]INNER TANK'!$E$11</definedName>
    <definedName name="da" localSheetId="5" hidden="1">{#N/A,#N/A,TRUE,"Front";#N/A,#N/A,TRUE,"Simple Letter";#N/A,#N/A,TRUE,"Inside";#N/A,#N/A,TRUE,"Contents";#N/A,#N/A,TRUE,"Basis";#N/A,#N/A,TRUE,"Inclusions";#N/A,#N/A,TRUE,"Exclusions";#N/A,#N/A,TRUE,"Areas";#N/A,#N/A,TRUE,"Summary";#N/A,#N/A,TRUE,"Detail"}</definedName>
    <definedName name="da" hidden="1">{#N/A,#N/A,TRUE,"Front";#N/A,#N/A,TRUE,"Simple Letter";#N/A,#N/A,TRUE,"Inside";#N/A,#N/A,TRUE,"Contents";#N/A,#N/A,TRUE,"Basis";#N/A,#N/A,TRUE,"Inclusions";#N/A,#N/A,TRUE,"Exclusions";#N/A,#N/A,TRUE,"Areas";#N/A,#N/A,TRUE,"Summary";#N/A,#N/A,TRUE,"Detail"}</definedName>
    <definedName name="dad">#REF!</definedName>
    <definedName name="daf">#REF!</definedName>
    <definedName name="dam">78000</definedName>
    <definedName name="daotd">'[11]CT Thang Mo'!$B$323:$H$323</definedName>
    <definedName name="dap">'[11]CT Thang Mo'!$B$39:$H$39</definedName>
    <definedName name="daptd">'[11]CT Thang Mo'!$B$324:$H$324</definedName>
    <definedName name="das">#REF!</definedName>
    <definedName name="dasd" localSheetId="5" hidden="1">{"'Bill No. 7'!$A$1:$G$32"}</definedName>
    <definedName name="dasd" localSheetId="1" hidden="1">{"'Bill No. 7'!$A$1:$G$32"}</definedName>
    <definedName name="dasd" hidden="1">{"'Bill No. 7'!$A$1:$G$32"}</definedName>
    <definedName name="dasda" hidden="1">'[97]S1BOQ &amp; Workplan'!#REF!</definedName>
    <definedName name="dasde" localSheetId="5" hidden="1">{"'Bill No. 7'!$A$1:$G$32"}</definedName>
    <definedName name="dasde" localSheetId="1" hidden="1">{"'Bill No. 7'!$A$1:$G$32"}</definedName>
    <definedName name="dasde" hidden="1">{"'Bill No. 7'!$A$1:$G$32"}</definedName>
    <definedName name="DASDSAD">#REF!</definedName>
    <definedName name="data">#REF!</definedName>
    <definedName name="DATA_DATA2_List">#REF!</definedName>
    <definedName name="data_p">#REF!</definedName>
    <definedName name="data1" hidden="1">#REF!</definedName>
    <definedName name="data2" hidden="1">#REF!</definedName>
    <definedName name="data3" hidden="1">#REF!</definedName>
    <definedName name="DATA4">#REF!</definedName>
    <definedName name="_xlnm.Database">[98]NDOCBT!$A$1:$I$65536</definedName>
    <definedName name="Database_MI">#REF!</definedName>
    <definedName name="Database_MI_1">#REF!</definedName>
    <definedName name="DATABASE_VERSION">#REF!</definedName>
    <definedName name="DataEntry">[99]SheetA!$G$3,[99]SheetA!$G$7:$G$14,[99]SheetA!$G$16:$G$22,[99]SheetA!$G$26,[99]SheetA!$J$53,[99]SheetA!$K$55,[99]SheetA!$J$56,[99]SheetA!$L$56,[99]SheetA!$E$56</definedName>
    <definedName name="Date">[84]Contents!$K$6</definedName>
    <definedName name="DATE_1">#REF!</definedName>
    <definedName name="DATE_TIME">#REF!</definedName>
    <definedName name="DATE00">[84]Contents!$K$6</definedName>
    <definedName name="DATE1">"Texte 162"</definedName>
    <definedName name="DATE2">"Texte 174"</definedName>
    <definedName name="DATE3">[84]Contents!$K$6</definedName>
    <definedName name="DATE4">"Texte 180"</definedName>
    <definedName name="Datenum">#REF!</definedName>
    <definedName name="DateRev">#REF!</definedName>
    <definedName name="daydb">#REF!</definedName>
    <definedName name="DB">[100]SUMMARY!$B$8:$Y$28</definedName>
    <definedName name="db___0">#REF!</definedName>
    <definedName name="db___13">#REF!</definedName>
    <definedName name="dc">#REF!</definedName>
    <definedName name="Dcan1">'[58]288-1'!#REF!</definedName>
    <definedName name="Dcan2">'[58]288-1'!#REF!</definedName>
    <definedName name="Dcan3">'[58]288-1'!#REF!</definedName>
    <definedName name="Dcan4">'[58]288-1'!#REF!</definedName>
    <definedName name="dcasd" localSheetId="5" hidden="1">{#N/A,#N/A,FALSE,"CCTV"}</definedName>
    <definedName name="dcasd" hidden="1">{#N/A,#N/A,FALSE,"CCTV"}</definedName>
    <definedName name="Dcg">[47]basdat!#REF!</definedName>
    <definedName name="DCI" localSheetId="5" hidden="1">{#N/A,#N/A,TRUE,"Front";#N/A,#N/A,TRUE,"Simple Letter";#N/A,#N/A,TRUE,"Inside";#N/A,#N/A,TRUE,"Contents";#N/A,#N/A,TRUE,"Basis";#N/A,#N/A,TRUE,"Inclusions";#N/A,#N/A,TRUE,"Exclusions";#N/A,#N/A,TRUE,"Areas";#N/A,#N/A,TRUE,"Summary";#N/A,#N/A,TRUE,"Detail"}</definedName>
    <definedName name="DCI" hidden="1">{#N/A,#N/A,TRUE,"Front";#N/A,#N/A,TRUE,"Simple Letter";#N/A,#N/A,TRUE,"Inside";#N/A,#N/A,TRUE,"Contents";#N/A,#N/A,TRUE,"Basis";#N/A,#N/A,TRUE,"Inclusions";#N/A,#N/A,TRUE,"Exclusions";#N/A,#N/A,TRUE,"Areas";#N/A,#N/A,TRUE,"Summary";#N/A,#N/A,TRUE,"Detail"}</definedName>
    <definedName name="dcis">#REF!</definedName>
    <definedName name="dcit" localSheetId="5"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localSheetId="5"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localSheetId="5"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d"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DAY">#REF!</definedName>
    <definedName name="ddd" localSheetId="5" hidden="1">{"'照明目录'!$A$1:$H$31"}</definedName>
    <definedName name="ddd" hidden="1">{"'照明目录'!$A$1:$H$31"}</definedName>
    <definedName name="DDDD">#REF!</definedName>
    <definedName name="dddvd">#REF!</definedName>
    <definedName name="DDFD" localSheetId="5" hidden="1">{#N/A,#N/A,FALSE,"CCTV"}</definedName>
    <definedName name="DDFD" hidden="1">{#N/A,#N/A,FALSE,"CCTV"}</definedName>
    <definedName name="DE">#REF!</definedName>
    <definedName name="DE_">#REF!</definedName>
    <definedName name="dead">#REF!</definedName>
    <definedName name="DEB_LIS">#REF!</definedName>
    <definedName name="DEBUT">'[23]M 11'!#REF!</definedName>
    <definedName name="Deck_or_Module">#REF!</definedName>
    <definedName name="deepak" localSheetId="5" hidden="1">{"'照明目录'!$A$1:$H$31"}</definedName>
    <definedName name="deepak" hidden="1">{"'照明目录'!$A$1:$H$31"}</definedName>
    <definedName name="def">'[101]WORKING SHEET SS#35'!$H$4</definedName>
    <definedName name="deff">#REF!</definedName>
    <definedName name="deff_">#REF!</definedName>
    <definedName name="DEL_HEADER">#REF!</definedName>
    <definedName name="DEL_HEADER_1">#REF!</definedName>
    <definedName name="delk">#REF!</definedName>
    <definedName name="delm">#REF!</definedName>
    <definedName name="delta">#REF!</definedName>
    <definedName name="delta1">#REF!</definedName>
    <definedName name="DELTA20">#REF!</definedName>
    <definedName name="DELTA20___0">#REF!</definedName>
    <definedName name="DELTA20___13">#REF!</definedName>
    <definedName name="DeltaT">[40]PERLITE!$B$72</definedName>
    <definedName name="DEN">#REF!</definedName>
    <definedName name="den_bu">#REF!</definedName>
    <definedName name="denbu">#REF!</definedName>
    <definedName name="Densityconcrete">'[102]Default Values'!$E$20</definedName>
    <definedName name="densitysoil">'[102]Default Values'!$E$21</definedName>
    <definedName name="DEP">#REF!</definedName>
    <definedName name="DEPTH">#REF!</definedName>
    <definedName name="DEPTH_1">#REF!</definedName>
    <definedName name="DEPTH_10">#REF!</definedName>
    <definedName name="DEPTH_11">#REF!</definedName>
    <definedName name="DEPTH_12">#REF!</definedName>
    <definedName name="DEPTH_4">#REF!</definedName>
    <definedName name="DES">#REF!</definedName>
    <definedName name="DESC_BRIDGE">#REF!</definedName>
    <definedName name="DESC_DUCT_SPRT">#REF!</definedName>
    <definedName name="DESC_EQ_SPRT">#REF!</definedName>
    <definedName name="DESC_FAB">#REF!</definedName>
    <definedName name="DESC_PIPERACK">#REF!</definedName>
    <definedName name="DESC_PLT_ACCS">#REF!</definedName>
    <definedName name="DESC_STANCHION">#REF!</definedName>
    <definedName name="DESC_STCK_SPRT">#REF!</definedName>
    <definedName name="design">#REF!</definedName>
    <definedName name="Design_manufacture___supply_of">#REF!</definedName>
    <definedName name="DESIGNATION1">"Texte 163"</definedName>
    <definedName name="DESIGNATION2">"Texte 175"</definedName>
    <definedName name="DESIGNATION3">"Texte 169"</definedName>
    <definedName name="DESIGNATION4">"Texte 181"</definedName>
    <definedName name="designed">#REF!</definedName>
    <definedName name="DETAIL">#N/A</definedName>
    <definedName name="DEVI" localSheetId="5" hidden="1">{"'Sheet1'!$A$4386:$N$4591"}</definedName>
    <definedName name="DEVI" hidden="1">{"'Sheet1'!$A$4386:$N$4591"}</definedName>
    <definedName name="DEXT">[103]SCHEDULES!$B$5:$BZ$7</definedName>
    <definedName name="Df">'[58]288-1'!#REF!</definedName>
    <definedName name="dfdfdfd">#REF!</definedName>
    <definedName name="dfdfdfdfd">#REF!</definedName>
    <definedName name="dfe">#REF!</definedName>
    <definedName name="DFf">#REF!</definedName>
    <definedName name="dfg">'[38]Piperack SectionCC Footing'!#REF!</definedName>
    <definedName name="dfgdfgdfgdfg">#REF!</definedName>
    <definedName name="dfh">[104]references!$G$2:$G$11</definedName>
    <definedName name="dfhfh" localSheetId="5" hidden="1">{#N/A,#N/A,TRUE,"Front";#N/A,#N/A,TRUE,"Simple Letter";#N/A,#N/A,TRUE,"Inside";#N/A,#N/A,TRUE,"Contents";#N/A,#N/A,TRUE,"Basis";#N/A,#N/A,TRUE,"Inclusions";#N/A,#N/A,TRUE,"Exclusions";#N/A,#N/A,TRUE,"Areas";#N/A,#N/A,TRUE,"Summary";#N/A,#N/A,TRUE,"Detail"}</definedName>
    <definedName name="dfhfh" hidden="1">{#N/A,#N/A,TRUE,"Front";#N/A,#N/A,TRUE,"Simple Letter";#N/A,#N/A,TRUE,"Inside";#N/A,#N/A,TRUE,"Contents";#N/A,#N/A,TRUE,"Basis";#N/A,#N/A,TRUE,"Inclusions";#N/A,#N/A,TRUE,"Exclusions";#N/A,#N/A,TRUE,"Areas";#N/A,#N/A,TRUE,"Summary";#N/A,#N/A,TRUE,"Detail"}</definedName>
    <definedName name="dfhsdf">#REF!</definedName>
    <definedName name="DFSAs">#REF!</definedName>
    <definedName name="DFSDD" hidden="1">#REF!</definedName>
    <definedName name="dfsga">#REF!</definedName>
    <definedName name="dg" localSheetId="5" hidden="1">{#N/A,#N/A,FALSE,"COVER.XLS";#N/A,#N/A,FALSE,"RACT1.XLS";#N/A,#N/A,FALSE,"RACT2.XLS";#N/A,#N/A,FALSE,"ECCMP";#N/A,#N/A,FALSE,"WELDER.XLS"}</definedName>
    <definedName name="dg" hidden="1">{#N/A,#N/A,FALSE,"COVER.XLS";#N/A,#N/A,FALSE,"RACT1.XLS";#N/A,#N/A,FALSE,"RACT2.XLS";#N/A,#N/A,FALSE,"ECCMP";#N/A,#N/A,FALSE,"WELDER.XLS"}</definedName>
    <definedName name="DGCTI592">#REF!</definedName>
    <definedName name="DGD"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fd" localSheetId="5" hidden="1">{#N/A,#N/A,FALSE,"COVER.XLS";#N/A,#N/A,FALSE,"RACT1.XLS";#N/A,#N/A,FALSE,"RACT2.XLS";#N/A,#N/A,FALSE,"ECCMP";#N/A,#N/A,FALSE,"WELDER.XLS"}</definedName>
    <definedName name="dgfgfd" hidden="1">{#N/A,#N/A,FALSE,"COVER.XLS";#N/A,#N/A,FALSE,"RACT1.XLS";#N/A,#N/A,FALSE,"RACT2.XLS";#N/A,#N/A,FALSE,"ECCMP";#N/A,#N/A,FALSE,"WELDER.XLS"}</definedName>
    <definedName name="dgfgjgj" localSheetId="5" hidden="1">{#N/A,#N/A,FALSE,"CCTV"}</definedName>
    <definedName name="dgfgjgj" hidden="1">{#N/A,#N/A,FALSE,"CCTV"}</definedName>
    <definedName name="dghkl" localSheetId="5" hidden="1">{"'Bill No. 7'!$A$1:$G$32"}</definedName>
    <definedName name="dghkl" localSheetId="1" hidden="1">{"'Bill No. 7'!$A$1:$G$32"}</definedName>
    <definedName name="dghkl" hidden="1">{"'Bill No. 7'!$A$1:$G$32"}</definedName>
    <definedName name="DGNCTT">[105]dnc4!$A$3:$F$329</definedName>
    <definedName name="Dgo">#REF!</definedName>
    <definedName name="Dgx">#REF!</definedName>
    <definedName name="Dgz">#REF!</definedName>
    <definedName name="dhdh">#N/A</definedName>
    <definedName name="dhom">#REF!</definedName>
    <definedName name="Di">#REF!</definedName>
    <definedName name="dia">[106]Intro!$L$151</definedName>
    <definedName name="diamouter">[107]DATA_DRAWING!$H$28</definedName>
    <definedName name="DIns">'[52]FT-05-02IsoBOM'!#REF!</definedName>
    <definedName name="Dio">#REF!</definedName>
    <definedName name="DIS">#REF!</definedName>
    <definedName name="Discount" hidden="1">#REF!</definedName>
    <definedName name="DISEGNO">#REF!</definedName>
    <definedName name="display_area_2" hidden="1">#REF!</definedName>
    <definedName name="Dix">#REF!</definedName>
    <definedName name="Diz">#REF!</definedName>
    <definedName name="dl">#REF!</definedName>
    <definedName name="dl___0">#REF!</definedName>
    <definedName name="dl___13">#REF!</definedName>
    <definedName name="DM">#REF!</definedName>
    <definedName name="Dmg">'[108]basic-data'!$D$16</definedName>
    <definedName name="dmin">[109]section!$B$11</definedName>
    <definedName name="dn" localSheetId="5" hidden="1">{#N/A,#N/A,FALSE,"COVER1.XLS ";#N/A,#N/A,FALSE,"RACT1.XLS";#N/A,#N/A,FALSE,"RACT2.XLS";#N/A,#N/A,FALSE,"ECCMP";#N/A,#N/A,FALSE,"WELDER.XLS"}</definedName>
    <definedName name="dn" hidden="1">{#N/A,#N/A,FALSE,"COVER1.XLS ";#N/A,#N/A,FALSE,"RACT1.XLS";#N/A,#N/A,FALSE,"RACT2.XLS";#N/A,#N/A,FALSE,"ECCMP";#N/A,#N/A,FALSE,"WELDER.XLS"}</definedName>
    <definedName name="DO">#REF!</definedName>
    <definedName name="dobt">#REF!</definedName>
    <definedName name="DOC">#REF!</definedName>
    <definedName name="Doc_No">#REF!</definedName>
    <definedName name="Docnum">#REF!</definedName>
    <definedName name="docu">#REF!</definedName>
    <definedName name="Document">#REF!</definedName>
    <definedName name="doitg" localSheetId="5" hidden="1">{#N/A,#N/A,TRUE,"Front";#N/A,#N/A,TRUE,"Simple Letter";#N/A,#N/A,TRUE,"Inside";#N/A,#N/A,TRUE,"Contents";#N/A,#N/A,TRUE,"Basis";#N/A,#N/A,TRUE,"Inclusions";#N/A,#N/A,TRUE,"Exclusions";#N/A,#N/A,TRUE,"Areas";#N/A,#N/A,TRUE,"Summary";#N/A,#N/A,TRUE,"Detail"}</definedName>
    <definedName name="doitg" hidden="1">{#N/A,#N/A,TRUE,"Front";#N/A,#N/A,TRUE,"Simple Letter";#N/A,#N/A,TRUE,"Inside";#N/A,#N/A,TRUE,"Contents";#N/A,#N/A,TRUE,"Basis";#N/A,#N/A,TRUE,"Inclusions";#N/A,#N/A,TRUE,"Exclusions";#N/A,#N/A,TRUE,"Areas";#N/A,#N/A,TRUE,"Summary";#N/A,#N/A,TRUE,"Detail"}</definedName>
    <definedName name="domestic_global">#REF!</definedName>
    <definedName name="dongia">#REF!</definedName>
    <definedName name="DoorWindow">'[87]DGchitiet '!#REF!</definedName>
    <definedName name="DP">#REF!</definedName>
    <definedName name="dpn">#REF!</definedName>
    <definedName name="Dpp">#REF!</definedName>
    <definedName name="dpr">#REF!</definedName>
    <definedName name="dq">#REF!</definedName>
    <definedName name="DRIVER">#REF!</definedName>
    <definedName name="DRIVER_1">#REF!</definedName>
    <definedName name="DropDown18_Change">[45]!DropDown18_Change</definedName>
    <definedName name="ds" localSheetId="5" hidden="1">{#N/A,#N/A,FALSE,"str_title";#N/A,#N/A,FALSE,"SUM";#N/A,#N/A,FALSE,"Scope";#N/A,#N/A,FALSE,"PIE-Jn";#N/A,#N/A,FALSE,"PIE-Jn_Hz";#N/A,#N/A,FALSE,"Liq_Plan";#N/A,#N/A,FALSE,"S_Curve";#N/A,#N/A,FALSE,"Liq_Prof";#N/A,#N/A,FALSE,"Man_Pwr";#N/A,#N/A,FALSE,"Man_Prof"}</definedName>
    <definedName name="ds" hidden="1">{#N/A,#N/A,FALSE,"str_title";#N/A,#N/A,FALSE,"SUM";#N/A,#N/A,FALSE,"Scope";#N/A,#N/A,FALSE,"PIE-Jn";#N/A,#N/A,FALSE,"PIE-Jn_Hz";#N/A,#N/A,FALSE,"Liq_Plan";#N/A,#N/A,FALSE,"S_Curve";#N/A,#N/A,FALSE,"Liq_Prof";#N/A,#N/A,FALSE,"Man_Pwr";#N/A,#N/A,FALSE,"Man_Prof"}</definedName>
    <definedName name="Ds___0">#REF!</definedName>
    <definedName name="Ds___13">#REF!</definedName>
    <definedName name="DS_1" localSheetId="5">cerca_1</definedName>
    <definedName name="DS_1">cerca_1</definedName>
    <definedName name="DS_10" localSheetId="5">cerca_10</definedName>
    <definedName name="DS_10">cerca_10</definedName>
    <definedName name="DS_11" localSheetId="5">cerca_11</definedName>
    <definedName name="DS_11">cerca_11</definedName>
    <definedName name="DS_12" localSheetId="5">cerca_12</definedName>
    <definedName name="DS_12">cerca_12</definedName>
    <definedName name="DS_4" localSheetId="5">cerca_4</definedName>
    <definedName name="DS_4">cerca_4</definedName>
    <definedName name="DS_6" localSheetId="5">cerca_6</definedName>
    <definedName name="DS_6">cerca_6</definedName>
    <definedName name="DS_7" localSheetId="5">cerca_7</definedName>
    <definedName name="DS_7">cerca_7</definedName>
    <definedName name="DS_8" localSheetId="5">cerca_8</definedName>
    <definedName name="DS_8">cerca_8</definedName>
    <definedName name="DS_9" localSheetId="5">cerca_9</definedName>
    <definedName name="DS_9">cerca_9</definedName>
    <definedName name="dsadaD" localSheetId="5" hidden="1">{#N/A,#N/A,FALSE,"COVER1.XLS ";#N/A,#N/A,FALSE,"RACT1.XLS";#N/A,#N/A,FALSE,"RACT2.XLS";#N/A,#N/A,FALSE,"ECCMP";#N/A,#N/A,FALSE,"WELDER.XLS"}</definedName>
    <definedName name="dsadaD" hidden="1">{#N/A,#N/A,FALSE,"COVER1.XLS ";#N/A,#N/A,FALSE,"RACT1.XLS";#N/A,#N/A,FALSE,"RACT2.XLS";#N/A,#N/A,FALSE,"ECCMP";#N/A,#N/A,FALSE,"WELDER.XLS"}</definedName>
    <definedName name="dsat">#REF!</definedName>
    <definedName name="dsdfwef" localSheetId="5" hidden="1">{#N/A,#N/A,FALSE,"CCTV"}</definedName>
    <definedName name="dsdfwef" hidden="1">{#N/A,#N/A,FALSE,"CCTV"}</definedName>
    <definedName name="DSDS">#REF!</definedName>
    <definedName name="DsNo">#REF!</definedName>
    <definedName name="DSTD_Clear">#N/A</definedName>
    <definedName name="DSUMDATA">#REF!</definedName>
    <definedName name="DT">#REF!</definedName>
    <definedName name="DUMMY">#REF!</definedName>
    <definedName name="DUMMY_1">#REF!</definedName>
    <definedName name="duoi">#REF!</definedName>
    <definedName name="DutoanDongmo">#REF!</definedName>
    <definedName name="Dvoid">'[58]288-1'!#REF!</definedName>
    <definedName name="dw">#REF!</definedName>
    <definedName name="DWPRICE" hidden="1">#REF!</definedName>
    <definedName name="Dx">#REF!</definedName>
    <definedName name="dx_shape">#REF!</definedName>
    <definedName name="DYE">#REF!</definedName>
    <definedName name="Dz">#REF!</definedName>
    <definedName name="dzt">[59]Airy!$B$15</definedName>
    <definedName name="E">#REF!</definedName>
    <definedName name="E_1">#REF!</definedName>
    <definedName name="E_ADUM">#REF!</definedName>
    <definedName name="E_AIRCOLL">#REF!</definedName>
    <definedName name="E_APUIP">#REF!</definedName>
    <definedName name="E_BLOWERFAN">#REF!</definedName>
    <definedName name="E_BQ">#REF!</definedName>
    <definedName name="E_BURNER">#REF!</definedName>
    <definedName name="E_CENTRIFUL">#REF!</definedName>
    <definedName name="E_EJECTOT">#REF!</definedName>
    <definedName name="E_EXCHANGE">#REF!</definedName>
    <definedName name="E_FILTER">#REF!</definedName>
    <definedName name="E_HEATSS">#REF!</definedName>
    <definedName name="E_HEAVY">#REF!</definedName>
    <definedName name="E_HYDRYU">#REF!</definedName>
    <definedName name="E_I_Eq">#REF!</definedName>
    <definedName name="e_margin">#REF!</definedName>
    <definedName name="E_MIS">#REF!</definedName>
    <definedName name="E_OTHERS">#REF!</definedName>
    <definedName name="E_PACH">#REF!</definedName>
    <definedName name="E_REACT">#REF!</definedName>
    <definedName name="E_REACTORS">#REF!</definedName>
    <definedName name="E_SUPERHEAR">#REF!</definedName>
    <definedName name="E_VESS">#REF!</definedName>
    <definedName name="E0">#REF!</definedName>
    <definedName name="EA">#REF!</definedName>
    <definedName name="EAREA">#REF!</definedName>
    <definedName name="EAREA_">#REF!</definedName>
    <definedName name="EARTH">'[86]Electrical R01'!#REF!</definedName>
    <definedName name="Earthwork">'[87]DGchitiet '!#REF!</definedName>
    <definedName name="earthz">#REF!</definedName>
    <definedName name="EB">#REF!</definedName>
    <definedName name="EC">#REF!</definedName>
    <definedName name="ECC">#REF!</definedName>
    <definedName name="ECC_">#REF!</definedName>
    <definedName name="ECG">#REF!</definedName>
    <definedName name="ECG_">#REF!</definedName>
    <definedName name="ED" localSheetId="5">cerca</definedName>
    <definedName name="ED">cerca</definedName>
    <definedName name="ED_1" localSheetId="5">cerca_1</definedName>
    <definedName name="ED_1">cerca_1</definedName>
    <definedName name="ED_10" localSheetId="5">cerca_10</definedName>
    <definedName name="ED_10">cerca_10</definedName>
    <definedName name="ED_11" localSheetId="5">cerca_11</definedName>
    <definedName name="ED_11">cerca_11</definedName>
    <definedName name="ED_12" localSheetId="5">cerca_12</definedName>
    <definedName name="ED_12">cerca_12</definedName>
    <definedName name="ED_4" localSheetId="5">cerca_4</definedName>
    <definedName name="ED_4">cerca_4</definedName>
    <definedName name="ED_6" localSheetId="5">cerca_6</definedName>
    <definedName name="ED_6">cerca_6</definedName>
    <definedName name="ED_7" localSheetId="5">cerca_7</definedName>
    <definedName name="ED_7">cerca_7</definedName>
    <definedName name="ED_8" localSheetId="5">cerca_8</definedName>
    <definedName name="ED_8">cerca_8</definedName>
    <definedName name="ED_9" localSheetId="5">cerca_9</definedName>
    <definedName name="ED_9">cerca_9</definedName>
    <definedName name="EDD">#REF!</definedName>
    <definedName name="edge">#REF!</definedName>
    <definedName name="Edit">#REF!</definedName>
    <definedName name="edit1">[34]!editbox3</definedName>
    <definedName name="edit4">[34]!editbox4</definedName>
    <definedName name="edit5">[34]!editbox5</definedName>
    <definedName name="edit8">[34]!editbox8</definedName>
    <definedName name="editb09">[34]!editbox80</definedName>
    <definedName name="editbo1">[34]!editbox1</definedName>
    <definedName name="editbo10">[34]!editbox10</definedName>
    <definedName name="editbo12">[34]!editbox12</definedName>
    <definedName name="editbo8">[34]!editbox8</definedName>
    <definedName name="editbo9">[34]!editbox9</definedName>
    <definedName name="editbos50">[34]!editbos50</definedName>
    <definedName name="editbox">[34]!editbox</definedName>
    <definedName name="editbox011">[34]!editbox011</definedName>
    <definedName name="editbox1">[34]!editbox1</definedName>
    <definedName name="editbox10">[34]!editbox10</definedName>
    <definedName name="editbox100">[34]!editbox100</definedName>
    <definedName name="editbox11">[34]!editbox11</definedName>
    <definedName name="editbox1117">[34]!editbox1117</definedName>
    <definedName name="editbox12">[34]!editbox12</definedName>
    <definedName name="editbox13">[34]!editbox13</definedName>
    <definedName name="editbox14">[34]!editbox14</definedName>
    <definedName name="editbox15">[34]!editbox15</definedName>
    <definedName name="editbox17">[34]!editbox17</definedName>
    <definedName name="editbox2">[34]!editbox2</definedName>
    <definedName name="editbox3">[34]!editbox3</definedName>
    <definedName name="editbox30">[34]!editbox30</definedName>
    <definedName name="editbox4">[34]!editbox4</definedName>
    <definedName name="editbox40">[34]!editbox40</definedName>
    <definedName name="editbox5">[34]!editbox5</definedName>
    <definedName name="editbox8">[34]!editbox8</definedName>
    <definedName name="editbox80">[34]!editbox80</definedName>
    <definedName name="EDITBOX80A">[34]!EDITBOX80A</definedName>
    <definedName name="EDITBOX8A">[34]!EDITBOX8A</definedName>
    <definedName name="editbox9">[34]!editbox9</definedName>
    <definedName name="editbox90">[34]!editbox90</definedName>
    <definedName name="editc09">[34]!editbox90</definedName>
    <definedName name="EE">#REF!</definedName>
    <definedName name="eee">#REF!</definedName>
    <definedName name="eeee">#REF!</definedName>
    <definedName name="eeee_1">#REF!</definedName>
    <definedName name="Eela">#REF!</definedName>
    <definedName name="EF">#REF!</definedName>
    <definedName name="EF_1">#REF!</definedName>
    <definedName name="EFA">'[71]3MLKQ'!#REF!</definedName>
    <definedName name="EFA_1">#REF!</definedName>
    <definedName name="efasd">#REF!</definedName>
    <definedName name="eff._span">'[110]Abt Foundation '!$I$41</definedName>
    <definedName name="EFNFA">[111]Feuil2!#REF!</definedName>
    <definedName name="EIM">#REF!</definedName>
    <definedName name="EIM_">#REF!</definedName>
    <definedName name="el">#REF!</definedName>
    <definedName name="EL_DOC">'[90]F.D.'!#REF!</definedName>
    <definedName name="ELE_CODE">#REF!</definedName>
    <definedName name="Elec_wt2.0">'[112]Data 1'!$EI$22</definedName>
    <definedName name="Elec_wt2.4">'[112]Data 1'!$EI$32</definedName>
    <definedName name="Elec_wt2.5">'[112]Data 1'!$EI$44</definedName>
    <definedName name="Elec_wt3.15_450">'[112]Data 1'!$EI$67</definedName>
    <definedName name="Elec_wt4.0_450">'[112]Data 1'!$EI$80</definedName>
    <definedName name="ELECT">#N/A</definedName>
    <definedName name="election">#REF!</definedName>
    <definedName name="election_1">#REF!</definedName>
    <definedName name="ELECTSUM">#REF!</definedName>
    <definedName name="ELEMENT_CODE">[55]Calendar!#REF!</definedName>
    <definedName name="ELLEN1" localSheetId="5" hidden="1">{#N/A,#N/A,FALSE,"CCTV"}</definedName>
    <definedName name="ELLEN1" hidden="1">{#N/A,#N/A,FALSE,"CCTV"}</definedName>
    <definedName name="ELLEN10" localSheetId="5" hidden="1">{#N/A,#N/A,FALSE,"CCTV"}</definedName>
    <definedName name="ELLEN10" hidden="1">{#N/A,#N/A,FALSE,"CCTV"}</definedName>
    <definedName name="ELLEN11" localSheetId="5" hidden="1">{#N/A,#N/A,FALSE,"CCTV"}</definedName>
    <definedName name="ELLEN11" hidden="1">{#N/A,#N/A,FALSE,"CCTV"}</definedName>
    <definedName name="ELLEN12" localSheetId="5" hidden="1">{#N/A,#N/A,FALSE,"CCTV"}</definedName>
    <definedName name="ELLEN12" hidden="1">{#N/A,#N/A,FALSE,"CCTV"}</definedName>
    <definedName name="ELLEN13" localSheetId="5" hidden="1">{#N/A,#N/A,FALSE,"CCTV"}</definedName>
    <definedName name="ELLEN13" hidden="1">{#N/A,#N/A,FALSE,"CCTV"}</definedName>
    <definedName name="ELLEN14" localSheetId="5" hidden="1">{#N/A,#N/A,FALSE,"CCTV"}</definedName>
    <definedName name="ELLEN14" hidden="1">{#N/A,#N/A,FALSE,"CCTV"}</definedName>
    <definedName name="ELLEN15" localSheetId="5" hidden="1">{#N/A,#N/A,FALSE,"CCTV"}</definedName>
    <definedName name="ELLEN15" hidden="1">{#N/A,#N/A,FALSE,"CCTV"}</definedName>
    <definedName name="ELLEN16" localSheetId="5" hidden="1">{#N/A,#N/A,FALSE,"CCTV"}</definedName>
    <definedName name="ELLEN16" hidden="1">{#N/A,#N/A,FALSE,"CCTV"}</definedName>
    <definedName name="ELLEN17" localSheetId="5" hidden="1">{#N/A,#N/A,FALSE,"CCTV"}</definedName>
    <definedName name="ELLEN17" hidden="1">{#N/A,#N/A,FALSE,"CCTV"}</definedName>
    <definedName name="ELLEN18" localSheetId="5" hidden="1">{#N/A,#N/A,FALSE,"CCTV"}</definedName>
    <definedName name="ELLEN18" hidden="1">{#N/A,#N/A,FALSE,"CCTV"}</definedName>
    <definedName name="ELLEN19" localSheetId="5" hidden="1">{#N/A,#N/A,FALSE,"CCTV"}</definedName>
    <definedName name="ELLEN19" hidden="1">{#N/A,#N/A,FALSE,"CCTV"}</definedName>
    <definedName name="ELLEN2" localSheetId="5" hidden="1">{#N/A,#N/A,FALSE,"CCTV"}</definedName>
    <definedName name="ELLEN2" hidden="1">{#N/A,#N/A,FALSE,"CCTV"}</definedName>
    <definedName name="ELLEN3" localSheetId="5" hidden="1">{#N/A,#N/A,FALSE,"CCTV"}</definedName>
    <definedName name="ELLEN3" hidden="1">{#N/A,#N/A,FALSE,"CCTV"}</definedName>
    <definedName name="ELLEN4" localSheetId="5" hidden="1">{#N/A,#N/A,FALSE,"CCTV"}</definedName>
    <definedName name="ELLEN4" hidden="1">{#N/A,#N/A,FALSE,"CCTV"}</definedName>
    <definedName name="ELLEN5" localSheetId="5" hidden="1">{#N/A,#N/A,FALSE,"CCTV"}</definedName>
    <definedName name="ELLEN5" hidden="1">{#N/A,#N/A,FALSE,"CCTV"}</definedName>
    <definedName name="ELLEN6" localSheetId="5" hidden="1">{#N/A,#N/A,FALSE,"CCTV"}</definedName>
    <definedName name="ELLEN6" hidden="1">{#N/A,#N/A,FALSE,"CCTV"}</definedName>
    <definedName name="ELLEN7" localSheetId="5" hidden="1">{#N/A,#N/A,FALSE,"CCTV"}</definedName>
    <definedName name="ELLEN7" hidden="1">{#N/A,#N/A,FALSE,"CCTV"}</definedName>
    <definedName name="ELLEN8" localSheetId="5" hidden="1">{#N/A,#N/A,FALSE,"CCTV"}</definedName>
    <definedName name="ELLEN8" hidden="1">{#N/A,#N/A,FALSE,"CCTV"}</definedName>
    <definedName name="ELLEN9" localSheetId="5" hidden="1">{#N/A,#N/A,FALSE,"CCTV"}</definedName>
    <definedName name="ELLEN9" hidden="1">{#N/A,#N/A,FALSE,"CCTV"}</definedName>
    <definedName name="Em">#REF!</definedName>
    <definedName name="Em___0">#REF!</definedName>
    <definedName name="Em___13">#REF!</definedName>
    <definedName name="Email">#REF!</definedName>
    <definedName name="emb" localSheetId="5" hidden="1">{"Execavation",#N/A,FALSE,"furniture (employer)"}</definedName>
    <definedName name="emb" hidden="1">{"Execavation",#N/A,FALSE,"furniture (employer)"}</definedName>
    <definedName name="EMDEPTH">#REF!</definedName>
    <definedName name="EMPRESA_1">'[113]tabulación final'!#REF!</definedName>
    <definedName name="EMPRESA_2">'[113]tabulación final'!#REF!</definedName>
    <definedName name="EMPRESA_3">'[113]tabulación final'!#REF!</definedName>
    <definedName name="EMPRESA_4">'[113]tabulación final'!#REF!</definedName>
    <definedName name="EMPRESA_5">'[113]tabulación final'!#REF!</definedName>
    <definedName name="empty">#REF!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ETE">#REF!</definedName>
    <definedName name="Eo">#REF!</definedName>
    <definedName name="Ep">#REF!</definedName>
    <definedName name="Epi">#REF!</definedName>
    <definedName name="EPR600V3CORE">#REF!</definedName>
    <definedName name="EPSILON">#REF!</definedName>
    <definedName name="eptoitcen">[25]DATA_DRAWING!$H$6</definedName>
    <definedName name="eq_index">#REF!</definedName>
    <definedName name="eqoe">#REF!</definedName>
    <definedName name="eqoo">#REF!</definedName>
    <definedName name="EQP">#REF!</definedName>
    <definedName name="EQPT_Rate">#REF!</definedName>
    <definedName name="eqse">#REF!</definedName>
    <definedName name="eqso">#REF!</definedName>
    <definedName name="EQUIP" localSheetId="5" hidden="1">{"'Sheet1'!$A$4386:$N$4591"}</definedName>
    <definedName name="EQUIP" hidden="1">{"'Sheet1'!$A$4386:$N$4591"}</definedName>
    <definedName name="EQUIPLIST">#REF!</definedName>
    <definedName name="EQUIPMENT_DESIG">#REF!</definedName>
    <definedName name="EQUIPMENT_DESIG_1">#REF!</definedName>
    <definedName name="EQUIPMENT_NO.">#REF!</definedName>
    <definedName name="EQUIPMENT_NO._1">#REF!</definedName>
    <definedName name="Erection_and_Civil">#REF!</definedName>
    <definedName name="erection1" localSheetId="5">[0]!____________vbt200,[0]!___________BTM150,[0]!___________BTM200,[0]!___________BTM50,[0]!___________CON1,[0]!___________CON2,[0]!___________EXC2,[0]!___________hom2,[0]!___________msl100,[0]!____________vbt210,[0]!____________vbt300,[0]!____________vbt400,[0]!____________vxm300,[0]!____________vxm500,[0]!____________vxm75</definedName>
    <definedName name="erection1">[0]!____________vbt200,[0]!___________BTM150,[0]!___________BTM200,[0]!___________BTM50,[0]!___________CON1,[0]!___________CON2,[0]!___________EXC2,[0]!___________hom2,[0]!___________msl100,[0]!____________vbt210,[0]!____________vbt300,[0]!____________vbt400,[0]!____________vxm300,[0]!____________vxm500,[0]!____________vxm75</definedName>
    <definedName name="erer">#REF!</definedName>
    <definedName name="erwerre">#REF!</definedName>
    <definedName name="Es">#REF!</definedName>
    <definedName name="Es___0">#REF!</definedName>
    <definedName name="Es___13">#REF!</definedName>
    <definedName name="ES_1">#REF!</definedName>
    <definedName name="ESA">'[71]3MLKQ'!#REF!</definedName>
    <definedName name="ESA_1">#REF!</definedName>
    <definedName name="eses">#REF!</definedName>
    <definedName name="eses_1">#REF!</definedName>
    <definedName name="eseses">#REF!</definedName>
    <definedName name="eseses_1">#REF!</definedName>
    <definedName name="esfwefwft">#REF!</definedName>
    <definedName name="esp_prec_v">[40]MTO!$G$121</definedName>
    <definedName name="Essai">#REF!</definedName>
    <definedName name="Est">#REF!</definedName>
    <definedName name="Estimation_basis" localSheetId="5" hidden="1">{#N/A,#N/A,FALSE,"type1";#N/A,#N/A,FALSE,"지지력";#N/A,#N/A,FALSE,"PILE계산";#N/A,#N/A,FALSE,"PILE ";#N/A,#N/A,FALSE,"철근량";#N/A,#N/A,FALSE,"균열검토";#N/A,#N/A,FALSE,"날개벽";#N/A,#N/A,FALSE,"주철근조립도";#N/A,#N/A,FALSE,"교좌"}</definedName>
    <definedName name="Estimation_basis" hidden="1">{#N/A,#N/A,FALSE,"type1";#N/A,#N/A,FALSE,"지지력";#N/A,#N/A,FALSE,"PILE계산";#N/A,#N/A,FALSE,"PILE ";#N/A,#N/A,FALSE,"철근량";#N/A,#N/A,FALSE,"균열검토";#N/A,#N/A,FALSE,"날개벽";#N/A,#N/A,FALSE,"주철근조립도";#N/A,#N/A,FALSE,"교좌"}</definedName>
    <definedName name="Et">#REF!</definedName>
    <definedName name="Et___0">#REF!</definedName>
    <definedName name="Et___13">#REF!</definedName>
    <definedName name="Eta">#REF!</definedName>
    <definedName name="ETABLI1">"Texte 164"</definedName>
    <definedName name="ETABLI2">"Texte 176"</definedName>
    <definedName name="ETABLI3">"Texte 170"</definedName>
    <definedName name="ETABLI4">"Texte 182"</definedName>
    <definedName name="Eth">#REF!</definedName>
    <definedName name="EURO">#REF!</definedName>
    <definedName name="EX">#REF!</definedName>
    <definedName name="exc" localSheetId="5" hidden="1">{"'Sheet1'!$A$4386:$N$4591"}</definedName>
    <definedName name="exc" hidden="1">{"'Sheet1'!$A$4386:$N$4591"}</definedName>
    <definedName name="Excavation">#REF!</definedName>
    <definedName name="Excel_BuiltIn__FilterDatabase_1">'[114]Valve cost'!#REF!</definedName>
    <definedName name="Excel_BuiltIn__FilterDatabase_18">#REF!</definedName>
    <definedName name="Excel_BuiltIn__FilterDatabase_19">#REF!</definedName>
    <definedName name="Excel_BuiltIn__FilterDatabase_2">#REF!</definedName>
    <definedName name="Excel_BuiltIn__FilterDatabase_21">#REF!</definedName>
    <definedName name="Excel_BuiltIn__FilterDatabase_7">#REF!</definedName>
    <definedName name="Excel_BuiltIn__FilterDatabase_8">#REF!</definedName>
    <definedName name="Excel_BuiltIn_Criteria">#REF!</definedName>
    <definedName name="Excel_BuiltIn_Criteria_1">#REF!</definedName>
    <definedName name="Excel_BuiltIn_Database">#REF!</definedName>
    <definedName name="Excel_BuiltIn_Database_1">#REF!</definedName>
    <definedName name="Excel_BuiltIn_Print_Area">#REF!</definedName>
    <definedName name="Excel_BuiltIn_Print_Area_1">#REF!</definedName>
    <definedName name="Excel_BuiltIn_Print_Area_1_1">#REF!,#REF!</definedName>
    <definedName name="Excel_BuiltIn_Print_Area_1_1_1">#REF!,#REF!,#REF!</definedName>
    <definedName name="Excel_BuiltIn_Print_Area_1_1_1_1">#REF!</definedName>
    <definedName name="Excel_BuiltIn_Print_Area_2">#REF!</definedName>
    <definedName name="Excel_BuiltIn_Print_Area_3_1">#REF!,#REF!</definedName>
    <definedName name="Excel_BuiltIn_Print_Area_3_1_1">#REF!</definedName>
    <definedName name="Excel_BuiltIn_Print_Titles">#REF!</definedName>
    <definedName name="Excel_BuiltIn_Print_Titles_1">#REF!</definedName>
    <definedName name="excf">#REF!</definedName>
    <definedName name="EXCH">#REF!</definedName>
    <definedName name="Excise">#REF!</definedName>
    <definedName name="Excise_Duty">#REF!</definedName>
    <definedName name="Excised">#REF!</definedName>
    <definedName name="ExciseDuty">#REF!</definedName>
    <definedName name="EXIT">#REF!</definedName>
    <definedName name="EXP">#REF!</definedName>
    <definedName name="expo">#REF!</definedName>
    <definedName name="extrac_a_trier">#REF!</definedName>
    <definedName name="_xlnm.Extract">#REF!</definedName>
    <definedName name="EXW">[115]SUMMARY!$F$137:$F$140</definedName>
    <definedName name="eyteyt" localSheetId="5" hidden="1">{#N/A,#N/A,FALSE,"CCTV"}</definedName>
    <definedName name="eyteyt" hidden="1">{#N/A,#N/A,FALSE,"CCTV"}</definedName>
    <definedName name="Ez">#REF!</definedName>
    <definedName name="F">#REF!</definedName>
    <definedName name="F_2.02">'[116] CABLE'!#REF!</definedName>
    <definedName name="F_2.04">#REF!</definedName>
    <definedName name="F_2.05">#REF!</definedName>
    <definedName name="F_2.06">#REF!</definedName>
    <definedName name="f_2.07">#REF!</definedName>
    <definedName name="F_2.08">#REF!</definedName>
    <definedName name="F_2.09">#REF!</definedName>
    <definedName name="F_2.10">#REF!</definedName>
    <definedName name="F_2.11">#REF!</definedName>
    <definedName name="F_2.12">#REF!</definedName>
    <definedName name="F_2.13">#REF!</definedName>
    <definedName name="F_2.14">#REF!</definedName>
    <definedName name="F_AREA">[55]Calendar!#REF!</definedName>
    <definedName name="f_shape">#REF!</definedName>
    <definedName name="F_THICK">[55]Calendar!#REF!</definedName>
    <definedName name="fac_dc">#REF!</definedName>
    <definedName name="fac_mhr_rate">#REF!</definedName>
    <definedName name="faciastone">'[42]Material '!$G$51</definedName>
    <definedName name="factor">#REF!</definedName>
    <definedName name="Fax">#REF!</definedName>
    <definedName name="FAXNO">#REF!</definedName>
    <definedName name="Fb">#REF!</definedName>
    <definedName name="fbgdfgfghf">#REF!</definedName>
    <definedName name="fby">#REF!</definedName>
    <definedName name="fc">[117]basdat!$D$33</definedName>
    <definedName name="FC5_total">#REF!</definedName>
    <definedName name="FC6_total">#REF!</definedName>
    <definedName name="fchk" localSheetId="5" hidden="1">{#N/A,#N/A,TRUE,"Front";#N/A,#N/A,TRUE,"Simple Letter";#N/A,#N/A,TRUE,"Inside";#N/A,#N/A,TRUE,"Contents";#N/A,#N/A,TRUE,"Basis";#N/A,#N/A,TRUE,"Inclusions";#N/A,#N/A,TRUE,"Exclusions";#N/A,#N/A,TRUE,"Areas";#N/A,#N/A,TRUE,"Summary";#N/A,#N/A,TRUE,"Detail"}</definedName>
    <definedName name="fchk" hidden="1">{#N/A,#N/A,TRUE,"Front";#N/A,#N/A,TRUE,"Simple Letter";#N/A,#N/A,TRUE,"Inside";#N/A,#N/A,TRUE,"Contents";#N/A,#N/A,TRUE,"Basis";#N/A,#N/A,TRUE,"Inclusions";#N/A,#N/A,TRUE,"Exclusions";#N/A,#N/A,TRUE,"Areas";#N/A,#N/A,TRUE,"Summary";#N/A,#N/A,TRUE,"Detail"}</definedName>
    <definedName name="fck">#REF!</definedName>
    <definedName name="fck_67">#REF!</definedName>
    <definedName name="fcm">#REF!</definedName>
    <definedName name="FCode" hidden="1">#REF!</definedName>
    <definedName name="fddfhdfhdgh" localSheetId="5" hidden="1">{#N/A,#N/A,FALSE,"CCTV"}</definedName>
    <definedName name="fddfhdfhdgh" hidden="1">{#N/A,#N/A,FALSE,"CCTV"}</definedName>
    <definedName name="FDDFS">#REF!</definedName>
    <definedName name="fdf" localSheetId="5" hidden="1">{#N/A,#N/A,FALSE,"CCTV"}</definedName>
    <definedName name="fdf" hidden="1">{#N/A,#N/A,FALSE,"CCTV"}</definedName>
    <definedName name="fdfd">'[2]Rate Analysis'!#REF!</definedName>
    <definedName name="fdfddfdf">#REF!</definedName>
    <definedName name="FDFDF" localSheetId="5" hidden="1">{#N/A,#N/A,FALSE,"CCTV"}</definedName>
    <definedName name="FDFDF" hidden="1">{#N/A,#N/A,FALSE,"CCTV"}</definedName>
    <definedName name="fdfdfdfdf">#REF!</definedName>
    <definedName name="fdfdfsdf">#REF!</definedName>
    <definedName name="fdgd" localSheetId="5" hidden="1">{#N/A,#N/A,TRUE,"Front";#N/A,#N/A,TRUE,"Simple Letter";#N/A,#N/A,TRUE,"Inside";#N/A,#N/A,TRUE,"Contents";#N/A,#N/A,TRUE,"Basis";#N/A,#N/A,TRUE,"Inclusions";#N/A,#N/A,TRUE,"Exclusions";#N/A,#N/A,TRUE,"Areas";#N/A,#N/A,TRUE,"Summary";#N/A,#N/A,TRUE,"Detail"}</definedName>
    <definedName name="fdgd" hidden="1">{#N/A,#N/A,TRUE,"Front";#N/A,#N/A,TRUE,"Simple Letter";#N/A,#N/A,TRUE,"Inside";#N/A,#N/A,TRUE,"Contents";#N/A,#N/A,TRUE,"Basis";#N/A,#N/A,TRUE,"Inclusions";#N/A,#N/A,TRUE,"Exclusions";#N/A,#N/A,TRUE,"Areas";#N/A,#N/A,TRUE,"Summary";#N/A,#N/A,TRUE,"Detail"}</definedName>
    <definedName name="fdgdr" localSheetId="5"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n_no">#REF!</definedName>
    <definedName name="FDSF">#REF!</definedName>
    <definedName name="fdss">#REF!</definedName>
    <definedName name="Fdx">#REF!</definedName>
    <definedName name="Fdz">#REF!</definedName>
    <definedName name="feA">#REF!</definedName>
    <definedName name="feb_qty_rev_3">#REF!</definedName>
    <definedName name="feb_rev4_qty">#REF!</definedName>
    <definedName name="FED">#REF!</definedName>
    <definedName name="FEF">#REF!</definedName>
    <definedName name="Fex">#REF!</definedName>
    <definedName name="Fez">#REF!</definedName>
    <definedName name="ff" localSheetId="5" hidden="1">{"'照明目录'!$A$1:$H$31"}</definedName>
    <definedName name="ff" hidden="1">{"'照明目录'!$A$1:$H$31"}</definedName>
    <definedName name="ff_line">#REF!</definedName>
    <definedName name="ffdfdfdfd">#REF!</definedName>
    <definedName name="fff">#REF!</definedName>
    <definedName name="ffffff" localSheetId="5" hidden="1">{#N/A,#N/A,FALSE,"CCTV"}</definedName>
    <definedName name="ffffff" hidden="1">{#N/A,#N/A,FALSE,"CCTV"}</definedName>
    <definedName name="FFFFFFFFFFF">#REF!,#REF!,#REF!</definedName>
    <definedName name="FFWW" localSheetId="5" hidden="1">{#N/A,#N/A,TRUE,"Front";#N/A,#N/A,TRUE,"Simple Letter";#N/A,#N/A,TRUE,"Inside";#N/A,#N/A,TRUE,"Contents";#N/A,#N/A,TRUE,"Basis";#N/A,#N/A,TRUE,"Inclusions";#N/A,#N/A,TRUE,"Exclusions";#N/A,#N/A,TRUE,"Areas";#N/A,#N/A,TRUE,"Summary";#N/A,#N/A,TRUE,"Detail"}</definedName>
    <definedName name="FFWW" hidden="1">{#N/A,#N/A,TRUE,"Front";#N/A,#N/A,TRUE,"Simple Letter";#N/A,#N/A,TRUE,"Inside";#N/A,#N/A,TRUE,"Contents";#N/A,#N/A,TRUE,"Basis";#N/A,#N/A,TRUE,"Inclusions";#N/A,#N/A,TRUE,"Exclusions";#N/A,#N/A,TRUE,"Areas";#N/A,#N/A,TRUE,"Summary";#N/A,#N/A,TRUE,"Detail"}</definedName>
    <definedName name="FG">#REF!</definedName>
    <definedName name="FG_ACC">'[48]cal-foamglass'!$AD$14:$AF$22</definedName>
    <definedName name="fgf">#REF!</definedName>
    <definedName name="fgwehwrhw">#REF!</definedName>
    <definedName name="Fh">#REF!</definedName>
    <definedName name="fhdfhfhdhf">#REF!</definedName>
    <definedName name="fhgjfghfghgf" localSheetId="5" hidden="1">{#N/A,#N/A,FALSE,"CCTV"}</definedName>
    <definedName name="fhgjfghfghgf" hidden="1">{#N/A,#N/A,FALSE,"CCTV"}</definedName>
    <definedName name="fhhhh" localSheetId="5"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l">#REF!</definedName>
    <definedName name="FICP">#REF!</definedName>
    <definedName name="FileNameSummary">[118]Main!#REF!</definedName>
    <definedName name="FILES">#REF!</definedName>
    <definedName name="fill" hidden="1">[119]Sheet1!#REF!</definedName>
    <definedName name="FILM">[55]Calendar!$M$1:$M$65536</definedName>
    <definedName name="FinishWork">'[87]DGchitiet '!#REF!</definedName>
    <definedName name="FIT">#REF!</definedName>
    <definedName name="FIT___0">#REF!</definedName>
    <definedName name="FIT___13">#REF!</definedName>
    <definedName name="FITP">[21]Closing!$B$41</definedName>
    <definedName name="FITS">[21]Closing!$C$41</definedName>
    <definedName name="fk">#REF!</definedName>
    <definedName name="fkuyufk">#REF!</definedName>
    <definedName name="fl">#REF!</definedName>
    <definedName name="Floor">'[22]ANNEXURE-A'!$C$4</definedName>
    <definedName name="Floor_Deck">#REF!</definedName>
    <definedName name="flow">#REF!</definedName>
    <definedName name="flx">#REF!</definedName>
    <definedName name="FMR">[120]valid_table!$G$1:$G$65536</definedName>
    <definedName name="fno">#REF!</definedName>
    <definedName name="fnx">#REF!</definedName>
    <definedName name="fnz">#REF!</definedName>
    <definedName name="fo" localSheetId="5" hidden="1">{"Execavation",#N/A,FALSE,"furniture (employer)"}</definedName>
    <definedName name="fo" hidden="1">{"Execavation",#N/A,FALSE,"furniture (employer)"}</definedName>
    <definedName name="foamglas">'[40]Codes,...'!$B$23:$F$34</definedName>
    <definedName name="footing">#REF!</definedName>
    <definedName name="Footings">#REF!</definedName>
    <definedName name="FOR" localSheetId="5" hidden="1">{#N/A,#N/A,FALSE,"CCTV"}</definedName>
    <definedName name="FOR" hidden="1">{#N/A,#N/A,FALSE,"CCTV"}</definedName>
    <definedName name="foren" localSheetId="5" hidden="1">{"Execavation",#N/A,FALSE,"furniture (employer)"}</definedName>
    <definedName name="foren" hidden="1">{"Execavation",#N/A,FALSE,"furniture (employer)"}</definedName>
    <definedName name="FOREX">[115]SUMMARY!$F$73:$F$82</definedName>
    <definedName name="FORMAT" localSheetId="5" hidden="1">{#N/A,#N/A,FALSE,"CCTV"}</definedName>
    <definedName name="FORMAT" hidden="1">{#N/A,#N/A,FALSE,"CCTV"}</definedName>
    <definedName name="formworkl" localSheetId="5" hidden="1">{#N/A,#N/A,TRUE,"Front";#N/A,#N/A,TRUE,"Simple Letter";#N/A,#N/A,TRUE,"Inside";#N/A,#N/A,TRUE,"Contents";#N/A,#N/A,TRUE,"Basis";#N/A,#N/A,TRUE,"Inclusions";#N/A,#N/A,TRUE,"Exclusions";#N/A,#N/A,TRUE,"Areas";#N/A,#N/A,TRUE,"Summary";#N/A,#N/A,TRUE,"Detail"}</definedName>
    <definedName name="formworkl" hidden="1">{#N/A,#N/A,TRUE,"Front";#N/A,#N/A,TRUE,"Simple Letter";#N/A,#N/A,TRUE,"Inside";#N/A,#N/A,TRUE,"Contents";#N/A,#N/A,TRUE,"Basis";#N/A,#N/A,TRUE,"Inclusions";#N/A,#N/A,TRUE,"Exclusions";#N/A,#N/A,TRUE,"Areas";#N/A,#N/A,TRUE,"Summary";#N/A,#N/A,TRUE,"Detail"}</definedName>
    <definedName name="FOS_O">'[102]Default Values'!$E$18</definedName>
    <definedName name="FOS_S">'[102]Default Values'!$E$17</definedName>
    <definedName name="found_th">#REF!</definedName>
    <definedName name="FP">#REF!</definedName>
    <definedName name="Fpi">#REF!</definedName>
    <definedName name="francis">#REF!</definedName>
    <definedName name="free">#REF!</definedName>
    <definedName name="FREQ">#REF!</definedName>
    <definedName name="frgrr" localSheetId="5" hidden="1">{#N/A,#N/A,TRUE,"Front";#N/A,#N/A,TRUE,"Simple Letter";#N/A,#N/A,TRUE,"Inside";#N/A,#N/A,TRUE,"Contents";#N/A,#N/A,TRUE,"Basis";#N/A,#N/A,TRUE,"Inclusions";#N/A,#N/A,TRUE,"Exclusions";#N/A,#N/A,TRUE,"Areas";#N/A,#N/A,TRUE,"Summary";#N/A,#N/A,TRUE,"Detail"}</definedName>
    <definedName name="frgrr" hidden="1">{#N/A,#N/A,TRUE,"Front";#N/A,#N/A,TRUE,"Simple Letter";#N/A,#N/A,TRUE,"Inside";#N/A,#N/A,TRUE,"Contents";#N/A,#N/A,TRUE,"Basis";#N/A,#N/A,TRUE,"Inclusions";#N/A,#N/A,TRUE,"Exclusions";#N/A,#N/A,TRUE,"Areas";#N/A,#N/A,TRUE,"Summary";#N/A,#N/A,TRUE,"Detail"}</definedName>
    <definedName name="fro">#REF!</definedName>
    <definedName name="FRT">[121]horizontal!#REF!</definedName>
    <definedName name="frx">#REF!</definedName>
    <definedName name="frz">#REF!</definedName>
    <definedName name="FS">#REF!</definedName>
    <definedName name="fSD">#REF!</definedName>
    <definedName name="FSDA">#REF!</definedName>
    <definedName name="fsDd">#REF!</definedName>
    <definedName name="FSDF">#REF!</definedName>
    <definedName name="fsdffw">#REF!</definedName>
    <definedName name="fsg">#REF!</definedName>
    <definedName name="Fst">#REF!</definedName>
    <definedName name="ft">[117]basdat!$D$34</definedName>
    <definedName name="ftss" localSheetId="5" hidden="1">{"FTS",#N/A,FALSE,"E"}</definedName>
    <definedName name="ftss" hidden="1">{"FTS",#N/A,FALSE,"E"}</definedName>
    <definedName name="Ftx">#REF!</definedName>
    <definedName name="Ftz">#REF!</definedName>
    <definedName name="Full">[76]QMCT!#REF!</definedName>
    <definedName name="Fv">#REF!</definedName>
    <definedName name="fx">#REF!</definedName>
    <definedName name="fy">#REF!</definedName>
    <definedName name="fyk_67">#REF!</definedName>
    <definedName name="g">#REF!</definedName>
    <definedName name="G_2.02">'[116] CABLE'!#REF!</definedName>
    <definedName name="g_2.04">#REF!</definedName>
    <definedName name="G_2.05">#REF!</definedName>
    <definedName name="G_2.06">#REF!</definedName>
    <definedName name="G_2.07">#REF!</definedName>
    <definedName name="G_2.08">#REF!</definedName>
    <definedName name="G_2.09">#REF!</definedName>
    <definedName name="G_2.10">#REF!</definedName>
    <definedName name="G_2.11">#REF!</definedName>
    <definedName name="G_2.12">#REF!</definedName>
    <definedName name="G_2.13">#REF!</definedName>
    <definedName name="G_2.14">#REF!</definedName>
    <definedName name="G_C">[122]Sum!$F$2</definedName>
    <definedName name="G_ME">#REF!</definedName>
    <definedName name="Galvanized_cable_tray__complete_of__special_pieces__elbows__crosses__Tees__etc.__and_fixing_elements___brackets__supports__etc.__Metallic_supports_from_roof__wall_or_metallic_structure_included">#REF!</definedName>
    <definedName name="gama">#REF!</definedName>
    <definedName name="gamah">#REF!</definedName>
    <definedName name="gamma">#REF!</definedName>
    <definedName name="GBC">'[96]Design of Isolated Footing'!$D$24</definedName>
    <definedName name="GBH">#REF!</definedName>
    <definedName name="gbv">#REF!</definedName>
    <definedName name="gd">[123]PROG_DATA!$B$6</definedName>
    <definedName name="GD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h" localSheetId="5" hidden="1">{#N/A,#N/A,FALSE,"CCTV"}</definedName>
    <definedName name="gdfgh" hidden="1">{#N/A,#N/A,FALSE,"CCTV"}</definedName>
    <definedName name="GD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SDGG">#REF!</definedName>
    <definedName name="General_Liability_Insurance">[70]Bidform!#REF!</definedName>
    <definedName name="generalinformation">#REF!</definedName>
    <definedName name="GenPave">#REF!</definedName>
    <definedName name="Gera">[44]BOQ!#REF!</definedName>
    <definedName name="GF">#REF!</definedName>
    <definedName name="gfdgdfgdfgdfgdfgdfg">#REF!</definedName>
    <definedName name="GFG"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df">#REF!</definedName>
    <definedName name="gfgfgfgfg">#REF!</definedName>
    <definedName name="gfjgfh" localSheetId="5" hidden="1">{#N/A,#N/A,FALSE,"CCTV"}</definedName>
    <definedName name="gfjgfh" hidden="1">{#N/A,#N/A,FALSE,"CCTV"}</definedName>
    <definedName name="gfjgfhfg" localSheetId="5" hidden="1">{#N/A,#N/A,FALSE,"CCTV"}</definedName>
    <definedName name="gfjgfhfg" hidden="1">{#N/A,#N/A,FALSE,"CCTV"}</definedName>
    <definedName name="GG">#REF!</definedName>
    <definedName name="ggffg">#REF!</definedName>
    <definedName name="ggfg">#REF!</definedName>
    <definedName name="GG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#REF!</definedName>
    <definedName name="ggh">#REF!</definedName>
    <definedName name="gghh">#REF!</definedName>
    <definedName name="gh">'[71]3MLKQ'!#REF!</definedName>
    <definedName name="ghdf">#N/A</definedName>
    <definedName name="ghf">#REF!</definedName>
    <definedName name="ghgfhgfhgjghjgj">#REF!</definedName>
    <definedName name="ghi">'[124]WORKING SHEET SS#35'!$H$4</definedName>
    <definedName name="ghip">#REF!</definedName>
    <definedName name="ghnjgf" localSheetId="5" hidden="1">{#N/A,#N/A,TRUE,"Front";#N/A,#N/A,TRUE,"Simple Letter";#N/A,#N/A,TRUE,"Inside";#N/A,#N/A,TRUE,"Contents";#N/A,#N/A,TRUE,"Basis";#N/A,#N/A,TRUE,"Inclusions";#N/A,#N/A,TRUE,"Exclusions";#N/A,#N/A,TRUE,"Areas";#N/A,#N/A,TRUE,"Summary";#N/A,#N/A,TRUE,"Detail"}</definedName>
    <definedName name="ghnjgf" hidden="1">{#N/A,#N/A,TRUE,"Front";#N/A,#N/A,TRUE,"Simple Letter";#N/A,#N/A,TRUE,"Inside";#N/A,#N/A,TRUE,"Contents";#N/A,#N/A,TRUE,"Basis";#N/A,#N/A,TRUE,"Inclusions";#N/A,#N/A,TRUE,"Exclusions";#N/A,#N/A,TRUE,"Areas";#N/A,#N/A,TRUE,"Summary";#N/A,#N/A,TRUE,"Detail"}</definedName>
    <definedName name="gia">#REF!</definedName>
    <definedName name="gia_tien">#REF!</definedName>
    <definedName name="gia_tien_BTN">#REF!</definedName>
    <definedName name="giaca">'[125]dg-VTu'!$C$6:$E$67</definedName>
    <definedName name="Giocong">#REF!</definedName>
    <definedName name="Girder">#REF!</definedName>
    <definedName name="gjkfuk">#REF!</definedName>
    <definedName name="Glazing">'[87]DGchitiet '!#REF!</definedName>
    <definedName name="gn">#REF!</definedName>
    <definedName name="gne">#REF!</definedName>
    <definedName name="GNRL">#REF!</definedName>
    <definedName name="gov">#REF!</definedName>
    <definedName name="GRADE">[55]Calendar!$J$1:$J$65536</definedName>
    <definedName name="Gross_Safe_Bearing_Capacity">#REF!</definedName>
    <definedName name="Group1">#REF!</definedName>
    <definedName name="Group2">#REF!</definedName>
    <definedName name="Group3">#REF!</definedName>
    <definedName name="Group4">#REF!</definedName>
    <definedName name="grout_type">#REF!</definedName>
    <definedName name="gs">#REF!</definedName>
    <definedName name="GSDFGFHGH">#REF!</definedName>
    <definedName name="GSDGG">#REF!</definedName>
    <definedName name="gsktxd">[93]!gsktxd</definedName>
    <definedName name="gt">#REF!</definedName>
    <definedName name="gthh" localSheetId="5" hidden="1">{#N/A,#N/A,TRUE,"Front";#N/A,#N/A,TRUE,"Simple Letter";#N/A,#N/A,TRUE,"Inside";#N/A,#N/A,TRUE,"Contents";#N/A,#N/A,TRUE,"Basis";#N/A,#N/A,TRUE,"Inclusions";#N/A,#N/A,TRUE,"Exclusions";#N/A,#N/A,TRUE,"Areas";#N/A,#N/A,TRUE,"Summary";#N/A,#N/A,TRUE,"Detail"}</definedName>
    <definedName name="gthh" hidden="1">{#N/A,#N/A,TRUE,"Front";#N/A,#N/A,TRUE,"Simple Letter";#N/A,#N/A,TRUE,"Inside";#N/A,#N/A,TRUE,"Contents";#N/A,#N/A,TRUE,"Basis";#N/A,#N/A,TRUE,"Inclusions";#N/A,#N/A,TRUE,"Exclusions";#N/A,#N/A,TRUE,"Areas";#N/A,#N/A,TRUE,"Summary";#N/A,#N/A,TRUE,"Detail"}</definedName>
    <definedName name="GTTA">'[126]??? ?? (?)'!$AE$54</definedName>
    <definedName name="GTTB">'[126]??? ?? (?)'!$AF$54</definedName>
    <definedName name="GV" localSheetId="5" hidden="1">{#N/A,#N/A,FALSE,"CCTV"}</definedName>
    <definedName name="GV" hidden="1">{#N/A,#N/A,FALSE,"CCTV"}</definedName>
    <definedName name="Gw">#REF!</definedName>
    <definedName name="gyt" localSheetId="5" hidden="1">{#N/A,#N/A,TRUE,"Front";#N/A,#N/A,TRUE,"Simple Letter";#N/A,#N/A,TRUE,"Inside";#N/A,#N/A,TRUE,"Contents";#N/A,#N/A,TRUE,"Basis";#N/A,#N/A,TRUE,"Inclusions";#N/A,#N/A,TRUE,"Exclusions";#N/A,#N/A,TRUE,"Areas";#N/A,#N/A,TRUE,"Summary";#N/A,#N/A,TRUE,"Detail"}</definedName>
    <definedName name="gyt" hidden="1">{#N/A,#N/A,TRUE,"Front";#N/A,#N/A,TRUE,"Simple Letter";#N/A,#N/A,TRUE,"Inside";#N/A,#N/A,TRUE,"Contents";#N/A,#N/A,TRUE,"Basis";#N/A,#N/A,TRUE,"Inclusions";#N/A,#N/A,TRUE,"Exclusions";#N/A,#N/A,TRUE,"Areas";#N/A,#N/A,TRUE,"Summary";#N/A,#N/A,TRUE,"Detail"}</definedName>
    <definedName name="H">#REF!</definedName>
    <definedName name="h.1">#REF!</definedName>
    <definedName name="h.2">#REF!</definedName>
    <definedName name="h.3">#REF!</definedName>
    <definedName name="h.4">#REF!</definedName>
    <definedName name="h.5">#REF!</definedName>
    <definedName name="h.6">#REF!</definedName>
    <definedName name="h.7">#REF!</definedName>
    <definedName name="H___0">#REF!</definedName>
    <definedName name="H___13">#REF!</definedName>
    <definedName name="h_af">#REF!</definedName>
    <definedName name="h_bf">#REF!</definedName>
    <definedName name="H_L">'[40]INNER TANK'!$E$20</definedName>
    <definedName name="H_one_vessel">#REF!</definedName>
    <definedName name="H_ring">'[40]INNER TANK'!$E$14</definedName>
    <definedName name="H_two_vessel">#REF!</definedName>
    <definedName name="H0">#REF!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0___0">#REF!</definedName>
    <definedName name="H0___13">#REF!</definedName>
    <definedName name="h1_">[40]PERLITE!$B$54</definedName>
    <definedName name="HA">#REF!</definedName>
    <definedName name="hai">#REF!</definedName>
    <definedName name="haj">#REF!</definedName>
    <definedName name="hap" localSheetId="5" hidden="1">{#N/A,#N/A,FALSE,"COVER1.XLS ";#N/A,#N/A,FALSE,"RACT1.XLS";#N/A,#N/A,FALSE,"RACT2.XLS";#N/A,#N/A,FALSE,"ECCMP";#N/A,#N/A,FALSE,"WELDER.XLS"}</definedName>
    <definedName name="hap" hidden="1">{#N/A,#N/A,FALSE,"COVER1.XLS ";#N/A,#N/A,FALSE,"RACT1.XLS";#N/A,#N/A,FALSE,"RACT2.XLS";#N/A,#N/A,FALSE,"ECCMP";#N/A,#N/A,FALSE,"WELDER.XLS"}</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I">'[22]ANNEXURE-A'!#REF!</definedName>
    <definedName name="HB">#REF!</definedName>
    <definedName name="HC_feed">#REF!</definedName>
    <definedName name="hc_ring">'[40]INNER TANK'!$E$16</definedName>
    <definedName name="Hcbdw">[127]Timesheet!#REF!</definedName>
    <definedName name="HCU1_FilterDatabase" hidden="1">#REF!</definedName>
    <definedName name="hcurt">[40]PERLITE!$E$44</definedName>
    <definedName name="Hcw">[127]Timesheet!#REF!</definedName>
    <definedName name="hdalle">[40]DATA_DRAWING!$B$41</definedName>
    <definedName name="HDCCT">[76]QMCT!#REF!</definedName>
    <definedName name="HDCD">[76]QMCT!#REF!</definedName>
    <definedName name="head">#REF!</definedName>
    <definedName name="HEADER">#REF!</definedName>
    <definedName name="HEADER_DRAWING_NUMBER">#REF!</definedName>
    <definedName name="HEADER_KFP_ORIGIN_KEY">#REF!</definedName>
    <definedName name="HEATER">#REF!</definedName>
    <definedName name="Heavy_ID">'[61]CS PIPING'!#REF!</definedName>
    <definedName name="Heavy_IM">'[61]CS PIPING'!#REF!</definedName>
    <definedName name="HeavyPave">#REF!</definedName>
    <definedName name="Heb">#REF!</definedName>
    <definedName name="hei">#REF!</definedName>
    <definedName name="height">#REF!</definedName>
    <definedName name="HEIGHT_1">#REF!</definedName>
    <definedName name="HEW">#REF!</definedName>
    <definedName name="hf">#REF!</definedName>
    <definedName name="hfdgfdg" localSheetId="5" hidden="1">{#N/A,#N/A,FALSE,"CCTV"}</definedName>
    <definedName name="hfdgfdg" hidden="1">{#N/A,#N/A,FALSE,"CCTV"}</definedName>
    <definedName name="hfi">#REF!</definedName>
    <definedName name="hfjhhjj" localSheetId="5" hidden="1">{#N/A,#N/A,FALSE,"CCTV"}</definedName>
    <definedName name="hfjhhjj" hidden="1">{#N/A,#N/A,FALSE,"CCTV"}</definedName>
    <definedName name="HFS">#REF!</definedName>
    <definedName name="hg">#REF!</definedName>
    <definedName name="hgfhgfhgfhgfhgh">#REF!</definedName>
    <definedName name="hghgfhgfhgfhgfhgf">#REF!</definedName>
    <definedName name="hgjfgh" localSheetId="5" hidden="1">{#N/A,#N/A,FALSE,"CCTV"}</definedName>
    <definedName name="hgjfgh" hidden="1">{#N/A,#N/A,FALSE,"CCTV"}</definedName>
    <definedName name="hgjgfhgh" localSheetId="5" hidden="1">{#N/A,#N/A,FALSE,"CCTV"}</definedName>
    <definedName name="hgjgfhgh" hidden="1">{#N/A,#N/A,FALSE,"CCTV"}</definedName>
    <definedName name="hgkj">#REF!</definedName>
    <definedName name="hgr">#REF!</definedName>
    <definedName name="hh">#REF!</definedName>
    <definedName name="hh___0">#REF!</definedName>
    <definedName name="hh___13">#REF!</definedName>
    <definedName name="HHcat">#REF!</definedName>
    <definedName name="HHda">#REF!</definedName>
    <definedName name="hhgfhgfhgfhgfh">#REF!</definedName>
    <definedName name="HHH">#REF!</definedName>
    <definedName name="hhhfghgfhghgfhf">'[128]3MLKQ'!$A$3</definedName>
    <definedName name="hhhh">#REF!</definedName>
    <definedName name="hhj">#REF!</definedName>
    <definedName name="Hhpc">[127]Timesheet!#REF!</definedName>
    <definedName name="hhs">#REF!</definedName>
    <definedName name="HHxm">#REF!</definedName>
    <definedName name="hi">'[52]FT-05-02IsoBOM'!#REF!</definedName>
    <definedName name="HiddenRows" hidden="1">#REF!</definedName>
    <definedName name="Hieght">#REF!</definedName>
    <definedName name="hien">#REF!</definedName>
    <definedName name="hii">#REF!</definedName>
    <definedName name="hiii">#REF!</definedName>
    <definedName name="hik" localSheetId="5" hidden="1">{#N/A,#N/A,FALSE,"TABLE"}</definedName>
    <definedName name="hik" hidden="1">{#N/A,#N/A,FALSE,"TABLE"}</definedName>
    <definedName name="HINDHUSTAN">#REF!</definedName>
    <definedName name="HIns">'[52]FT-05-02IsoBOM'!#REF!</definedName>
    <definedName name="Hipc">[127]Timesheet!#REF!</definedName>
    <definedName name="HJ">#REF!</definedName>
    <definedName name="hkerb">'[58]288-1'!#REF!</definedName>
    <definedName name="hkujfyk">#REF!</definedName>
    <definedName name="Hlp">[127]Timesheet!#REF!</definedName>
    <definedName name="hmur">[40]DATA_DRAWING!$N$27</definedName>
    <definedName name="ho">#REF!</definedName>
    <definedName name="ho___0">#REF!</definedName>
    <definedName name="ho___13">#REF!</definedName>
    <definedName name="hoc">55000</definedName>
    <definedName name="hoi">'[52]FT-05-02IsoBOM'!#REF!</definedName>
    <definedName name="HOLD_DETAIL">#REF!</definedName>
    <definedName name="HOME_MANP">#REF!</definedName>
    <definedName name="HOMEOFFICE_COST">#REF!</definedName>
    <definedName name="HOOKUP">#REF!</definedName>
    <definedName name="Hos">#REF!</definedName>
    <definedName name="How">#REF!</definedName>
    <definedName name="Howt">#REF!</definedName>
    <definedName name="hparam">[40]PERLITE!$G$72</definedName>
    <definedName name="HPS">#REF!</definedName>
    <definedName name="Href">#REF!</definedName>
    <definedName name="Hs">[127]Timesheet!#REF!</definedName>
    <definedName name="hS___0">#REF!</definedName>
    <definedName name="hS___13">#REF!</definedName>
    <definedName name="Hs_atm">[127]Timesheet!#REF!</definedName>
    <definedName name="HSB">#REF!</definedName>
    <definedName name="hsd" localSheetId="5" hidden="1">{"Cost Summary",#N/A,FALSE,"B";"Cost Detail 1",#N/A,FALSE,"C";"Cost Detail 2",#N/A,FALSE,"C"}</definedName>
    <definedName name="hsd" hidden="1">{"Cost Summary",#N/A,FALSE,"B";"Cost Detail 1",#N/A,FALSE,"C";"Cost Detail 2",#N/A,FALSE,"C"}</definedName>
    <definedName name="hsdc">#REF!</definedName>
    <definedName name="hsdc1">#REF!</definedName>
    <definedName name="hsk">#REF!</definedName>
    <definedName name="HSS">#REF!</definedName>
    <definedName name="hßm4">#REF!</definedName>
    <definedName name="HT">#REF!</definedName>
    <definedName name="HTML" localSheetId="5" hidden="1">{"'照明目录'!$A$1:$H$31"}</definedName>
    <definedName name="HTML" hidden="1">{"'照明目录'!$A$1:$H$31"}</definedName>
    <definedName name="HTML_CodePage" hidden="1">1252</definedName>
    <definedName name="HTML_Control" localSheetId="5" hidden="1">{"'Typical Costs Estimates'!$C$158:$H$161"}</definedName>
    <definedName name="HTML_Control" localSheetId="1" hidden="1">{"'Typical Costs Estimates'!$C$158:$H$161"}</definedName>
    <definedName name="HTML_Control" hidden="1">{"'Typical Costs Estimates'!$C$158:$H$161"}</definedName>
    <definedName name="HTML_Description" hidden="1">""</definedName>
    <definedName name="HTML_Email" hidden="1">""</definedName>
    <definedName name="HTML_Header" hidden="1">"Typical Costs Estimates"</definedName>
    <definedName name="HTML_LastUpdate" hidden="1">"8/18/99"</definedName>
    <definedName name="HTML_LineAfter" hidden="1">TRUE</definedName>
    <definedName name="HTML_LineBefore" hidden="1">TRUE</definedName>
    <definedName name="HTML_Name" hidden="1">"Ajit.S.R"</definedName>
    <definedName name="HTML_OBDlg2" hidden="1">TRUE</definedName>
    <definedName name="HTML_OBDlg4" hidden="1">TRUE</definedName>
    <definedName name="HTML_OS" hidden="1">0</definedName>
    <definedName name="HTML_PathFile" hidden="1">"C:\My Documents\MyHTML.htm"</definedName>
    <definedName name="HTML_Title" hidden="1">"Ecr cost"</definedName>
    <definedName name="HTS">#REF!</definedName>
    <definedName name="Htwt">#REF!</definedName>
    <definedName name="Hu">#REF!</definedName>
    <definedName name="Hu___0">#REF!</definedName>
    <definedName name="Hu___13">#REF!</definedName>
    <definedName name="Hull">'[129]SYSTEM 945 Air&amp;Nitrogen'!#REF!</definedName>
    <definedName name="humepipe1200">'[42]Material '!$G$48</definedName>
    <definedName name="humepipenp3">'[42]Material '!$G$49</definedName>
    <definedName name="huy" localSheetId="5" hidden="1">{"'Sheet1'!$L$16"}</definedName>
    <definedName name="huy" hidden="1">{"'Sheet1'!$L$16"}</definedName>
    <definedName name="hvacrates">#REF!</definedName>
    <definedName name="HW">#REF!</definedName>
    <definedName name="Hw_atm">[127]Timesheet!#REF!</definedName>
    <definedName name="Hwb">#REF!</definedName>
    <definedName name="HX">#REF!</definedName>
    <definedName name="hxa">#REF!</definedName>
    <definedName name="hxb">'[52]FT-05-02IsoBOM'!#REF!</definedName>
    <definedName name="hxc">#REF!</definedName>
    <definedName name="hxd">#REF!</definedName>
    <definedName name="hxi">'[52]FT-05-02IsoBOM'!#REF!</definedName>
    <definedName name="hxLineFourHeader">#REF!</definedName>
    <definedName name="hxLineFourHeader.height">#REF!</definedName>
    <definedName name="hxLineFourHeader.label">#REF!</definedName>
    <definedName name="hxLineFourHeader.remark1">#REF!</definedName>
    <definedName name="hxLineFourHeader.remark2">#REF!</definedName>
    <definedName name="hxLineFourHeader.remark3">#REF!</definedName>
    <definedName name="hxLineFourHeader.remark4">#REF!</definedName>
    <definedName name="hxLineFourHeader.revision">#REF!</definedName>
    <definedName name="hxLineFourHeader.uom">#REF!</definedName>
    <definedName name="hxLineFourHeader.value1">#REF!</definedName>
    <definedName name="hxLineFourHeader.value2">#REF!</definedName>
    <definedName name="hxLineFourHeader.value3">#REF!</definedName>
    <definedName name="hxLineFourHeader.value4">#REF!</definedName>
    <definedName name="hxLineFourHeader.width">#REF!</definedName>
    <definedName name="hxLineFourNumber">#REF!</definedName>
    <definedName name="hxLineFourNumber.height">#REF!</definedName>
    <definedName name="hxLineFourNumber.label">#REF!</definedName>
    <definedName name="hxLineFourNumber.remark1">#REF!</definedName>
    <definedName name="hxLineFourNumber.remark2">#REF!</definedName>
    <definedName name="hxLineFourNumber.remark3">#REF!</definedName>
    <definedName name="hxLineFourNumber.remark4">#REF!</definedName>
    <definedName name="hxLineFourNumber.revision">#REF!</definedName>
    <definedName name="hxLineFourNumber.uom">#REF!</definedName>
    <definedName name="hxLineFourNumber.value1">#REF!</definedName>
    <definedName name="hxLineFourNumber.value2">#REF!</definedName>
    <definedName name="hxLineFourNumber.value3">#REF!</definedName>
    <definedName name="hxLineFourNumber.value4">#REF!</definedName>
    <definedName name="hxLineFourNumber.width">#REF!</definedName>
    <definedName name="hxLineFourNumberAlt">#REF!</definedName>
    <definedName name="hxLineFourNumberAlt.height">#REF!</definedName>
    <definedName name="hxLineFourNumberAlt.label">#REF!</definedName>
    <definedName name="hxLineFourNumberAlt.remark1">#REF!</definedName>
    <definedName name="hxLineFourNumberAlt.remark2">#REF!</definedName>
    <definedName name="hxLineFourNumberAlt.revision">#REF!</definedName>
    <definedName name="hxLineFourNumberAlt.uom">#REF!</definedName>
    <definedName name="hxLineFourNumberAlt.value11">#REF!</definedName>
    <definedName name="hxLineFourNumberAlt.value12">#REF!</definedName>
    <definedName name="hxLineFourNumberAlt.value21">#REF!</definedName>
    <definedName name="hxLineFourNumberAlt.value22">#REF!</definedName>
    <definedName name="hxLineFourNumberAlt.width">#REF!</definedName>
    <definedName name="hxLineFourNumberIndent">#REF!</definedName>
    <definedName name="hxLineFourNumberIndent.height">#REF!</definedName>
    <definedName name="hxLineFourNumberIndent.label1">#REF!</definedName>
    <definedName name="hxLineFourNumberIndent.label2">#REF!</definedName>
    <definedName name="hxLineFourNumberIndent.remark1">#REF!</definedName>
    <definedName name="hxLineFourNumberIndent.remark2">#REF!</definedName>
    <definedName name="hxLineFourNumberIndent.remark3">#REF!</definedName>
    <definedName name="hxLineFourNumberIndent.remark4">#REF!</definedName>
    <definedName name="hxLineFourNumberIndent.revision">#REF!</definedName>
    <definedName name="hxLineFourNumberIndent.uom">#REF!</definedName>
    <definedName name="hxLineFourNumberIndent.value1">#REF!</definedName>
    <definedName name="hxLineFourNumberIndent.value2">#REF!</definedName>
    <definedName name="hxLineFourNumberIndent.value3">#REF!</definedName>
    <definedName name="hxLineFourNumberIndent.value4">#REF!</definedName>
    <definedName name="hxLineFourNumberIndent.width">#REF!</definedName>
    <definedName name="hxLineHeader">#REF!</definedName>
    <definedName name="hxLineHeader.description">#REF!</definedName>
    <definedName name="hxLineHeader.height">#REF!</definedName>
    <definedName name="hxLineHeader.inlet1">#REF!</definedName>
    <definedName name="hxLineHeader.inlet2">#REF!</definedName>
    <definedName name="hxLineHeader.outlet1">#REF!</definedName>
    <definedName name="hxLineHeader.outlet2">#REF!</definedName>
    <definedName name="hxLineHeader.side1">#REF!</definedName>
    <definedName name="hxLineHeader.side2">#REF!</definedName>
    <definedName name="hxLineHeader.uom">#REF!</definedName>
    <definedName name="hxLineHeader.width">#REF!</definedName>
    <definedName name="hxLineTwoNumber">#REF!</definedName>
    <definedName name="hxLineTwoNumber.height">#REF!</definedName>
    <definedName name="hxLineTwoNumber.label">#REF!</definedName>
    <definedName name="hxLineTwoNumber.remark1">#REF!</definedName>
    <definedName name="hxLineTwoNumber.remark2">#REF!</definedName>
    <definedName name="hxLineTwoNumber.revision">#REF!</definedName>
    <definedName name="hxLineTwoNumber.uom">#REF!</definedName>
    <definedName name="hxLineTwoNumber.value1">#REF!</definedName>
    <definedName name="hxLineTwoNumber.value2">#REF!</definedName>
    <definedName name="hxLineTwoNumber.width">#REF!</definedName>
    <definedName name="hxLineTwoNumberAlt">#REF!</definedName>
    <definedName name="hxLineTwoNumberAlt.height">#REF!</definedName>
    <definedName name="hxLineTwoNumberAlt.label">#REF!</definedName>
    <definedName name="hxLineTwoNumberAlt.remark1">#REF!</definedName>
    <definedName name="hxLineTwoNumberAlt.remark3">#REF!</definedName>
    <definedName name="hxLineTwoNumberAlt.revision">#REF!</definedName>
    <definedName name="hxLineTwoNumberAlt.uom">#REF!</definedName>
    <definedName name="hxLineTwoNumberAlt.value1">#REF!</definedName>
    <definedName name="hxLineTwoNumberAlt.value3">#REF!</definedName>
    <definedName name="hxLineTwoNumberAlt.width">#REF!</definedName>
    <definedName name="hxLineTwoNumberAltIndent">#REF!</definedName>
    <definedName name="hxLineTwoNumberAltIndent.height">#REF!</definedName>
    <definedName name="hxLineTwoNumberAltIndent.label1">#REF!</definedName>
    <definedName name="hxLineTwoNumberAltIndent.label2">#REF!</definedName>
    <definedName name="hxLineTwoNumberAltIndent.remark1">#REF!</definedName>
    <definedName name="hxLineTwoNumberAltIndent.remark3">#REF!</definedName>
    <definedName name="hxLineTwoNumberAltIndent.revision">#REF!</definedName>
    <definedName name="hxLineTwoNumberAltIndent.uom">#REF!</definedName>
    <definedName name="hxLineTwoNumberAltIndent.value1">#REF!</definedName>
    <definedName name="hxLineTwoNumberAltIndent.value3">#REF!</definedName>
    <definedName name="hxLineTwoNumberAltIndent.width">#REF!</definedName>
    <definedName name="hxLineTwoNumberSlash">#REF!</definedName>
    <definedName name="hxLineTwoNumberSlash.height">#REF!</definedName>
    <definedName name="hxLineTwoNumberSlash.label">#REF!</definedName>
    <definedName name="hxLineTwoNumberSlash.remark1">#REF!</definedName>
    <definedName name="hxLineTwoNumberSlash.remark2">#REF!</definedName>
    <definedName name="hxLineTwoNumberSlash.revision">#REF!</definedName>
    <definedName name="hxLineTwoNumberSlash.uom">#REF!</definedName>
    <definedName name="hxLineTwoNumberSlash.value1">#REF!</definedName>
    <definedName name="hxLineTwoNumberSlash.value2">#REF!</definedName>
    <definedName name="hxLineTwoNumberSlash.width">#REF!</definedName>
    <definedName name="hythy">#REF!</definedName>
    <definedName name="Hz">#REF!</definedName>
    <definedName name="I">#REF!</definedName>
    <definedName name="I___0">#REF!</definedName>
    <definedName name="I___13">#REF!</definedName>
    <definedName name="I_AREA">[55]Calendar!#REF!</definedName>
    <definedName name="I_MATERIAL">[55]Calendar!#REF!</definedName>
    <definedName name="I_THICK">[55]Calendar!#REF!</definedName>
    <definedName name="I12_I14__Q12_Q14">#REF!</definedName>
    <definedName name="IAS">#REF!</definedName>
    <definedName name="IASS">#REF!</definedName>
    <definedName name="IC" hidden="1">#REF!</definedName>
    <definedName name="ID">#REF!</definedName>
    <definedName name="ID_100">#REF!</definedName>
    <definedName name="ID_50">#REF!</definedName>
    <definedName name="id_cs">#REF!</definedName>
    <definedName name="id_csgal">#REF!</definedName>
    <definedName name="id_csh">#REF!</definedName>
    <definedName name="id_csibr">#REF!</definedName>
    <definedName name="id_csnace">#REF!</definedName>
    <definedName name="id_ss">#REF!</definedName>
    <definedName name="id_ssibr">#REF!</definedName>
    <definedName name="ID_UNCORR">#REF!</definedName>
    <definedName name="idc" localSheetId="5" hidden="1">{#N/A,#N/A,TRUE,"Front";#N/A,#N/A,TRUE,"Simple Letter";#N/A,#N/A,TRUE,"Inside";#N/A,#N/A,TRUE,"Contents";#N/A,#N/A,TRUE,"Basis";#N/A,#N/A,TRUE,"Inclusions";#N/A,#N/A,TRUE,"Exclusions";#N/A,#N/A,TRUE,"Areas";#N/A,#N/A,TRUE,"Summary";#N/A,#N/A,TRUE,"Detail"}</definedName>
    <definedName name="idc" hidden="1">{#N/A,#N/A,TRUE,"Front";#N/A,#N/A,TRUE,"Simple Letter";#N/A,#N/A,TRUE,"Inside";#N/A,#N/A,TRUE,"Contents";#N/A,#N/A,TRUE,"Basis";#N/A,#N/A,TRUE,"Inclusions";#N/A,#N/A,TRUE,"Exclusions";#N/A,#N/A,TRUE,"Areas";#N/A,#N/A,TRUE,"Summary";#N/A,#N/A,TRUE,"Detail"}</definedName>
    <definedName name="idc_fac">#REF!</definedName>
    <definedName name="IDLAB_COST">#REF!</definedName>
    <definedName name="iepr">#REF!</definedName>
    <definedName name="If">#REF!</definedName>
    <definedName name="Ig">#REF!</definedName>
    <definedName name="Ig___0">#REF!</definedName>
    <definedName name="Ig___13">#REF!</definedName>
    <definedName name="ii">#REF!</definedName>
    <definedName name="iiouolkll" localSheetId="5" hidden="1">{#N/A,#N/A,FALSE,"CCTV"}</definedName>
    <definedName name="iiouolkll" hidden="1">{#N/A,#N/A,FALSE,"CCTV"}</definedName>
    <definedName name="Ik">#REF!</definedName>
    <definedName name="il">#REF!</definedName>
    <definedName name="IMP_FACT">#REF!</definedName>
    <definedName name="Impres_titres_MI">#REF!</definedName>
    <definedName name="in">#REF!</definedName>
    <definedName name="in_dia_tot">#REF!</definedName>
    <definedName name="IN_EL_CPC">#REF!</definedName>
    <definedName name="IN_EL_CPC1">#REF!</definedName>
    <definedName name="in_mtr_tot">#REF!</definedName>
    <definedName name="inAst1">#REF!</definedName>
    <definedName name="inAst3">#REF!</definedName>
    <definedName name="inAst4">#REF!</definedName>
    <definedName name="incgl">#REF!</definedName>
    <definedName name="INDEX">[130]UREA!#REF!</definedName>
    <definedName name="india">#REF!</definedName>
    <definedName name="INDMANP">#REF!</definedName>
    <definedName name="inexudl">#REF!</definedName>
    <definedName name="Inflation">#REF!</definedName>
    <definedName name="INGC1">#REF!</definedName>
    <definedName name="inlet_diam_po_B">'[103]API 526(B)'!$A$17:$N$24</definedName>
    <definedName name="inlet_diam_po_C">'[103]API 526(C)'!$A$17:$N$24</definedName>
    <definedName name="inlet_diam_po_P">'[103]API 526(P)'!$A$27:$N$39</definedName>
    <definedName name="inlet_rating_po_B">'[103]API 526(B)'!$A$1:$N$8</definedName>
    <definedName name="inlet_rating_po_C">'[103]API 526(C)'!$A$1:$N$8</definedName>
    <definedName name="inlet_rating_po_P">'[103]API 526(P)'!$A$1:$N$13</definedName>
    <definedName name="INQ3100BQ">#REF!</definedName>
    <definedName name="INQ3200BQ">#REF!</definedName>
    <definedName name="INQ3300BQ">#REF!</definedName>
    <definedName name="INQ3400BQ">#REF!</definedName>
    <definedName name="INQ3500BQ">#REF!</definedName>
    <definedName name="INQ3600BQ">#REF!</definedName>
    <definedName name="INQ3700BQ">#REF!</definedName>
    <definedName name="INQ3800BQ">#REF!</definedName>
    <definedName name="INS">[131]CLASS!$E$1:$E$7</definedName>
    <definedName name="INS_DENS">#REF!</definedName>
    <definedName name="INS_THK">#REF!</definedName>
    <definedName name="insertplate_and_exp_joint">#REF!</definedName>
    <definedName name="INSTALL">#REF!</definedName>
    <definedName name="INSTDKADU">#REF!</definedName>
    <definedName name="INSTNFGP">#REF!</definedName>
    <definedName name="INSTNGL4">#REF!</definedName>
    <definedName name="INSTPGM">#REF!</definedName>
    <definedName name="INSTPIPELINE">#REF!</definedName>
    <definedName name="Instrument_Type">[132]valid_table!$A$1:$A$56</definedName>
    <definedName name="INSTTANK">#REF!</definedName>
    <definedName name="INSTTYPE">#REF!</definedName>
    <definedName name="INSTYPE">#REF!</definedName>
    <definedName name="insu">#REF!</definedName>
    <definedName name="INSULATION_CODE">#REF!</definedName>
    <definedName name="INSULATION_CODE_1">#REF!</definedName>
    <definedName name="INSULATION_THIC">#REF!</definedName>
    <definedName name="INSULATION_THIC_1">#REF!</definedName>
    <definedName name="INTERFACE_FORMAT_VERSION">#REF!</definedName>
    <definedName name="INTERFACE_NAME">#REF!</definedName>
    <definedName name="InteriorWork">'[87]DGchitiet '!#REF!</definedName>
    <definedName name="IO">#REF!</definedName>
    <definedName name="IO_TYPE">[133]VALIDATION!$D$2:$D$23</definedName>
    <definedName name="Io1I">#REF!</definedName>
    <definedName name="Io2I">#REF!</definedName>
    <definedName name="ioioi">'[71]3MLKQ'!$D$3</definedName>
    <definedName name="Ip">#REF!</definedName>
    <definedName name="ipu">#REF!</definedName>
    <definedName name="ipu___0">#REF!</definedName>
    <definedName name="ipu___13">#REF!</definedName>
    <definedName name="Is">#REF!</definedName>
    <definedName name="ISMB100">#REF!</definedName>
    <definedName name="ISMB125">#REF!</definedName>
    <definedName name="ISMB150">#REF!</definedName>
    <definedName name="ISMB175">#REF!</definedName>
    <definedName name="ISMB200">#REF!</definedName>
    <definedName name="ISMB225">#REF!</definedName>
    <definedName name="ISMB250">#REF!</definedName>
    <definedName name="ISMB300">#REF!</definedName>
    <definedName name="ISMB350">#REF!</definedName>
    <definedName name="ISMB400">#REF!</definedName>
    <definedName name="ISMB450">#REF!</definedName>
    <definedName name="ISMB500">#REF!</definedName>
    <definedName name="ISMB550">#REF!</definedName>
    <definedName name="ISMB600">#REF!</definedName>
    <definedName name="issue_summ">'[134]water prop.'!$A$1</definedName>
    <definedName name="IT">#REF!</definedName>
    <definedName name="ITEAMS">[135]references!$C$2:$C$38</definedName>
    <definedName name="ITEM">#REF!</definedName>
    <definedName name="ITEM_DETAILS">#REF!</definedName>
    <definedName name="ITEMCODE">#REF!</definedName>
    <definedName name="ItemName">#REF!</definedName>
    <definedName name="ItemNo">#REF!</definedName>
    <definedName name="iw">#REF!</definedName>
    <definedName name="IX">#REF!</definedName>
    <definedName name="IX_1">#REF!</definedName>
    <definedName name="IX_10">#REF!</definedName>
    <definedName name="IX_11">#REF!</definedName>
    <definedName name="IX_12">#REF!</definedName>
    <definedName name="IX_4">#REF!</definedName>
    <definedName name="Ixx">#REF!</definedName>
    <definedName name="Ixxi">#REF!</definedName>
    <definedName name="Ixxt">#REF!</definedName>
    <definedName name="IY">#REF!</definedName>
    <definedName name="IY_1">#REF!</definedName>
    <definedName name="IY_10">#REF!</definedName>
    <definedName name="IY_11">#REF!</definedName>
    <definedName name="IY_12">#REF!</definedName>
    <definedName name="IY_4">#REF!</definedName>
    <definedName name="Iyy">#REF!</definedName>
    <definedName name="j">'[58]288-1'!#REF!</definedName>
    <definedName name="j_">#REF!</definedName>
    <definedName name="j_filler">#REF!</definedName>
    <definedName name="J_No">#REF!</definedName>
    <definedName name="jac_p">#REF!</definedName>
    <definedName name="JB">#REF!</definedName>
    <definedName name="JEJS">#REF!</definedName>
    <definedName name="JEJS___0">#REF!</definedName>
    <definedName name="JEJS___11">#REF!</definedName>
    <definedName name="JEJS___12">#REF!</definedName>
    <definedName name="JEJS___13">#REF!</definedName>
    <definedName name="JEJS___4">#REF!</definedName>
    <definedName name="JFSDJKL">#REF!</definedName>
    <definedName name="JGFHJ">#REF!</definedName>
    <definedName name="jhhhh" localSheetId="5" hidden="1">{#N/A,#N/A,FALSE,"CCTV"}</definedName>
    <definedName name="jhhhh" hidden="1">{#N/A,#N/A,FALSE,"CCTV"}</definedName>
    <definedName name="JJJF" hidden="1">'[136]pile Fabrication'!#REF!</definedName>
    <definedName name="jkl">#REF!</definedName>
    <definedName name="job">'[69]DETAILED  BOQ'!$A$1</definedName>
    <definedName name="job___0">'[22]ANNEXURE-A'!$A$1</definedName>
    <definedName name="job___11">'[22]ANNEXURE-A'!$A$1</definedName>
    <definedName name="job___12">'[22]ANNEXURE-A'!$A$1</definedName>
    <definedName name="JobID">#REF!</definedName>
    <definedName name="JobNo">#REF!</definedName>
    <definedName name="JOBNUM">#REF!</definedName>
    <definedName name="Jobtypes">[137]FORM7!$R$3:$S$7</definedName>
    <definedName name="JUNC_BOX">#REF!</definedName>
    <definedName name="JY" hidden="1">#REF!</definedName>
    <definedName name="k" localSheetId="5" hidden="1">{"form-D1",#N/A,FALSE,"FORM-D1";"form-D1_amt",#N/A,FALSE,"FORM-D1"}</definedName>
    <definedName name="k" hidden="1">{"form-D1",#N/A,FALSE,"FORM-D1";"form-D1_amt",#N/A,FALSE,"FORM-D1"}</definedName>
    <definedName name="K___0">#REF!</definedName>
    <definedName name="K___13">#REF!</definedName>
    <definedName name="k_1" localSheetId="5" hidden="1">{"form-D1",#N/A,FALSE,"FORM-D1";"form-D1_amt",#N/A,FALSE,"FORM-D1"}</definedName>
    <definedName name="k_1" hidden="1">{"form-D1",#N/A,FALSE,"FORM-D1";"form-D1_amt",#N/A,FALSE,"FORM-D1"}</definedName>
    <definedName name="k_2" localSheetId="5" hidden="1">{"form-D1",#N/A,FALSE,"FORM-D1";"form-D1_amt",#N/A,FALSE,"FORM-D1"}</definedName>
    <definedName name="k_2" hidden="1">{"form-D1",#N/A,FALSE,"FORM-D1";"form-D1_amt",#N/A,FALSE,"FORM-D1"}</definedName>
    <definedName name="k_3" localSheetId="5" hidden="1">{"form-D1",#N/A,FALSE,"FORM-D1";"form-D1_amt",#N/A,FALSE,"FORM-D1"}</definedName>
    <definedName name="k_3" hidden="1">{"form-D1",#N/A,FALSE,"FORM-D1";"form-D1_amt",#N/A,FALSE,"FORM-D1"}</definedName>
    <definedName name="k_4" localSheetId="5" hidden="1">{"form-D1",#N/A,FALSE,"FORM-D1";"form-D1_amt",#N/A,FALSE,"FORM-D1"}</definedName>
    <definedName name="k_4" hidden="1">{"form-D1",#N/A,FALSE,"FORM-D1";"form-D1_amt",#N/A,FALSE,"FORM-D1"}</definedName>
    <definedName name="k0">#REF!</definedName>
    <definedName name="k1_table">#REF!</definedName>
    <definedName name="k1s">#REF!</definedName>
    <definedName name="k1x">[49]Design!#REF!</definedName>
    <definedName name="k1y">[49]Design!#REF!</definedName>
    <definedName name="k2s">#REF!</definedName>
    <definedName name="k2x">[49]Design!#REF!</definedName>
    <definedName name="k2y">[49]Design!#REF!</definedName>
    <definedName name="ka">#REF!</definedName>
    <definedName name="Kailash">#REF!</definedName>
    <definedName name="KAK">#N/A</definedName>
    <definedName name="KAK_1">#N/A</definedName>
    <definedName name="KAK_10">#N/A</definedName>
    <definedName name="KAK_11">#N/A</definedName>
    <definedName name="KAK_12">#N/A</definedName>
    <definedName name="KAK_4">#N/A</definedName>
    <definedName name="KAK_6">#N/A</definedName>
    <definedName name="KAK_7">#N/A</definedName>
    <definedName name="KAK_8">#N/A</definedName>
    <definedName name="KAK_9">#N/A</definedName>
    <definedName name="kaori">#REF!</definedName>
    <definedName name="KARNA">'[138]Cover sheet'!$G$13</definedName>
    <definedName name="kasdfjhd" localSheetId="5" hidden="1">{"'Typical Costs Estimates'!$C$158:$H$161"}</definedName>
    <definedName name="kasdfjhd" localSheetId="1" hidden="1">{"'Typical Costs Estimates'!$C$158:$H$161"}</definedName>
    <definedName name="kasdfjhd" hidden="1">{"'Typical Costs Estimates'!$C$158:$H$161"}</definedName>
    <definedName name="kazuyo">#REF!</definedName>
    <definedName name="kb">#REF!</definedName>
    <definedName name="kc">#REF!</definedName>
    <definedName name="kcong">#REF!</definedName>
    <definedName name="Kd">#REF!</definedName>
    <definedName name="kghlgh" localSheetId="5" hidden="1">{#N/A,#N/A,FALSE,"CCTV"}</definedName>
    <definedName name="kghlgh" hidden="1">{#N/A,#N/A,FALSE,"CCTV"}</definedName>
    <definedName name="Kh">#REF!</definedName>
    <definedName name="Kh___0">#REF!</definedName>
    <definedName name="Kh___13">#REF!</definedName>
    <definedName name="khac">2</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em_tra_trung_ten">#REF!</definedName>
    <definedName name="Kii">#REF!</definedName>
    <definedName name="Kii___0">#REF!</definedName>
    <definedName name="Kii___13">#REF!</definedName>
    <definedName name="KILL">#REF!</definedName>
    <definedName name="kiulil" localSheetId="5" hidden="1">{#N/A,#N/A,FALSE,"CCTV"}</definedName>
    <definedName name="kiulil" hidden="1">{#N/A,#N/A,FALSE,"CCTV"}</definedName>
    <definedName name="kj" hidden="1">#REF!</definedName>
    <definedName name="kjhhn">'[139]B-W 22.0 (1-10)'!$B$51</definedName>
    <definedName name="kjhlh" localSheetId="5" hidden="1">{#N/A,#N/A,FALSE,"CCTV"}</definedName>
    <definedName name="kjhlh" hidden="1">{#N/A,#N/A,FALSE,"CCTV"}</definedName>
    <definedName name="kjhljhk" localSheetId="5" hidden="1">{#N/A,#N/A,FALSE,"CCTV"}</definedName>
    <definedName name="kjhljhk" hidden="1">{#N/A,#N/A,FALSE,"CCTV"}</definedName>
    <definedName name="KK"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kk" localSheetId="5" hidden="1">{#N/A,#N/A,FALSE,"COVER1.XLS ";#N/A,#N/A,FALSE,"RACT1.XLS";#N/A,#N/A,FALSE,"RACT2.XLS";#N/A,#N/A,FALSE,"ECCMP";#N/A,#N/A,FALSE,"WELDER.XLS"}</definedName>
    <definedName name="kkk" hidden="1">{#N/A,#N/A,FALSE,"COVER1.XLS ";#N/A,#N/A,FALSE,"RACT1.XLS";#N/A,#N/A,FALSE,"RACT2.XLS";#N/A,#N/A,FALSE,"ECCMP";#N/A,#N/A,FALSE,"WELDER.XLS"}</definedName>
    <definedName name="kkkk">#REF!</definedName>
    <definedName name="kkzz">#REF!</definedName>
    <definedName name="KL_C">[122]Sum!$F$1</definedName>
    <definedName name="kl_ME">#REF!</definedName>
    <definedName name="Km">#REF!</definedName>
    <definedName name="Km___0">#REF!</definedName>
    <definedName name="Km___13">#REF!</definedName>
    <definedName name="KNJB">'[139]B-W 22.0 (1-10)'!$B$51</definedName>
    <definedName name="KO">#REF!</definedName>
    <definedName name="koh">#REF!</definedName>
    <definedName name="kondapally" localSheetId="5" hidden="1">{"'Sheet1'!$A$4386:$N$4591"}</definedName>
    <definedName name="kondapally" hidden="1">{"'Sheet1'!$A$4386:$N$4591"}</definedName>
    <definedName name="Ks">#REF!</definedName>
    <definedName name="Ks___0">#REF!</definedName>
    <definedName name="Ks___13">#REF!</definedName>
    <definedName name="kskk" localSheetId="5" hidden="1">{#N/A,#N/A,FALSE,"COVER.XLS";#N/A,#N/A,FALSE,"RACT1.XLS";#N/A,#N/A,FALSE,"RACT2.XLS";#N/A,#N/A,FALSE,"ECCMP";#N/A,#N/A,FALSE,"WELDER.XLS"}</definedName>
    <definedName name="kskk" hidden="1">{#N/A,#N/A,FALSE,"COVER.XLS";#N/A,#N/A,FALSE,"RACT1.XLS";#N/A,#N/A,FALSE,"RACT2.XLS";#N/A,#N/A,FALSE,"ECCMP";#N/A,#N/A,FALSE,"WELDER.XLS"}</definedName>
    <definedName name="KTA">'[88]?????-1'!#REF!</definedName>
    <definedName name="KTB">'[88]?????-1'!#REF!</definedName>
    <definedName name="KTX">'[88]?????-1'!#REF!</definedName>
    <definedName name="KVC">#REF!</definedName>
    <definedName name="kvs" localSheetId="5" hidden="1">{#N/A,#N/A,FALSE,"COVER1.XLS ";#N/A,#N/A,FALSE,"RACT1.XLS";#N/A,#N/A,FALSE,"RACT2.XLS";#N/A,#N/A,FALSE,"ECCMP";#N/A,#N/A,FALSE,"WELDER.XLS"}</definedName>
    <definedName name="kvs" hidden="1">{#N/A,#N/A,FALSE,"COVER1.XLS ";#N/A,#N/A,FALSE,"RACT1.XLS";#N/A,#N/A,FALSE,"RACT2.XLS";#N/A,#N/A,FALSE,"ECCMP";#N/A,#N/A,FALSE,"WELDER.XLS"}</definedName>
    <definedName name="Kw">[59]Airy!$F$6</definedName>
    <definedName name="Kx">#REF!</definedName>
    <definedName name="KY">(#REF!-#REF!)/(#REF!-#REF!)</definedName>
    <definedName name="KZ_TBL">#REF!</definedName>
    <definedName name="kzt">#REF!</definedName>
    <definedName name="l" localSheetId="5" hidden="1">{"Cost Summary",#N/A,FALSE,"B";"Cost Detail 1",#N/A,FALSE,"C";"Cost Detail 2",#N/A,FALSE,"C"}</definedName>
    <definedName name="l" hidden="1">{"Cost Summary",#N/A,FALSE,"B";"Cost Detail 1",#N/A,FALSE,"C";"Cost Detail 2",#N/A,FALSE,"C"}</definedName>
    <definedName name="L___0">#REF!</definedName>
    <definedName name="L___13">#REF!</definedName>
    <definedName name="l_flanfe">#REF!</definedName>
    <definedName name="L_Mate">[140]Labour!$D$16</definedName>
    <definedName name="L_Mazdoor">[140]Labour!$D$17</definedName>
    <definedName name="L_Mazdoor_Skilled">[140]Labour!$D$19</definedName>
    <definedName name="l1x">#REF!</definedName>
    <definedName name="l2x">#REF!</definedName>
    <definedName name="LA">#REF!</definedName>
    <definedName name="Labor_Rate">#REF!</definedName>
    <definedName name="Labor_Unit_Rate">#REF!</definedName>
    <definedName name="lal">#REF!</definedName>
    <definedName name="lala">#REF!</definedName>
    <definedName name="lamda">#REF!</definedName>
    <definedName name="lamda_11">#REF!</definedName>
    <definedName name="lamda_12">#REF!</definedName>
    <definedName name="LAMP">#REF!</definedName>
    <definedName name="LAMP___0">#REF!</definedName>
    <definedName name="LAMP___13">#REF!</definedName>
    <definedName name="lan">#REF!</definedName>
    <definedName name="LANGUAGE_VERSION">#REF!</definedName>
    <definedName name="langue1">'[40]INNER TANK'!$I$97:$I$98</definedName>
    <definedName name="langue2">'[40]INNER TANK SEISMIC'!$E$3:$E$4</definedName>
    <definedName name="langues">'[141]LIQUID MODELISATION'!$I$4:$I$5</definedName>
    <definedName name="lapa">'[11]CT Thang Mo'!$B$350:$H$350</definedName>
    <definedName name="lapb">'[11]CT Thang Mo'!$B$370:$H$370</definedName>
    <definedName name="lapc">'[11]CT Thang Mo'!$B$390:$H$390</definedName>
    <definedName name="Larsen___Toubro_Limited___ECC_Construction_Division">#REF!</definedName>
    <definedName name="LAST">#REF!</definedName>
    <definedName name="Lb">#REF!</definedName>
    <definedName name="lbv">#REF!</definedName>
    <definedName name="Lc">#REF!</definedName>
    <definedName name="Lc___0">#REF!</definedName>
    <definedName name="Lc___13">#REF!</definedName>
    <definedName name="LC5_total">#REF!</definedName>
    <definedName name="LC6_total">#REF!</definedName>
    <definedName name="Lcan">'[58]288-1'!#REF!</definedName>
    <definedName name="lcs">#REF!</definedName>
    <definedName name="LD">[123]PROG_DATA!$B$7</definedName>
    <definedName name="lead">'[142]Material '!$S$11</definedName>
    <definedName name="lean">#REF!</definedName>
    <definedName name="lef">#REF!</definedName>
    <definedName name="lel">#REF!</definedName>
    <definedName name="len">[106]Intro!$L$153</definedName>
    <definedName name="LENG">#REF!</definedName>
    <definedName name="LENGTH">#REF!</definedName>
    <definedName name="LENGTH_1">#REF!</definedName>
    <definedName name="length_pier">#REF!</definedName>
    <definedName name="LETTER">#REF!</definedName>
    <definedName name="level">#REF!</definedName>
    <definedName name="Lf">#REF!</definedName>
    <definedName name="LF_1">#REF!</definedName>
    <definedName name="LF_T1">#REF!</definedName>
    <definedName name="LF_T1_1">#REF!</definedName>
    <definedName name="LFA">#REF!</definedName>
    <definedName name="LFA_1">#REF!</definedName>
    <definedName name="LFA_T1">#REF!</definedName>
    <definedName name="LFA_T1_1">#REF!</definedName>
    <definedName name="Lff">#REF!</definedName>
    <definedName name="LG">#REF!</definedName>
    <definedName name="LGF">#REF!</definedName>
    <definedName name="li">#REF!</definedName>
    <definedName name="LIEU1">"Texte 157"</definedName>
    <definedName name="LIEU2">"Texte 158"</definedName>
    <definedName name="Light_ID">'[61]CS PIPING'!#REF!</definedName>
    <definedName name="Light_IM">'[61]CS PIPING'!#REF!</definedName>
    <definedName name="LIGNO">#REF!</definedName>
    <definedName name="limcount" hidden="1">1</definedName>
    <definedName name="LINE_SCH">'[143]THICKNESS TABLE'!$B$3:$W$3</definedName>
    <definedName name="LINE_SIZE">#REF!</definedName>
    <definedName name="lineBlank">#REF!</definedName>
    <definedName name="lineBlank.height">#REF!</definedName>
    <definedName name="lineBlank.width">#REF!</definedName>
    <definedName name="lineCalcDetails">#REF!</definedName>
    <definedName name="lineCalcDetails.calculation">#REF!</definedName>
    <definedName name="lineCalcDetails.designCalc">#REF!</definedName>
    <definedName name="lineCalcDetails.height">#REF!</definedName>
    <definedName name="lineCalcDetails.initials">#REF!</definedName>
    <definedName name="lineCalcDetails.layout">#REF!</definedName>
    <definedName name="lineCalcDetails.pfdCase">#REF!</definedName>
    <definedName name="lineCalcDetails.revision">#REF!</definedName>
    <definedName name="lineCalcDetails.width">#REF!</definedName>
    <definedName name="lineComment">#REF!</definedName>
    <definedName name="lineComment.date">#REF!</definedName>
    <definedName name="lineComment.height">#REF!</definedName>
    <definedName name="lineComment.source">#REF!</definedName>
    <definedName name="lineComment.text">#REF!</definedName>
    <definedName name="lineComment.user">#REF!</definedName>
    <definedName name="lineComment.width">#REF!</definedName>
    <definedName name="lineDammam">#REF!</definedName>
    <definedName name="lineDammam.height">#REF!</definedName>
    <definedName name="lineDammam.width">#REF!</definedName>
    <definedName name="lineDammamKPI">#REF!</definedName>
    <definedName name="lineDammamKPI.height">#REF!</definedName>
    <definedName name="lineDammamKPI.width">#REF!</definedName>
    <definedName name="lineDatasheetText">#REF!</definedName>
    <definedName name="lineDatasheetText.height">#REF!</definedName>
    <definedName name="lineDatasheetText.revision">#REF!</definedName>
    <definedName name="lineDatasheetText.text">#REF!</definedName>
    <definedName name="lineDatasheetText.width">#REF!</definedName>
    <definedName name="lineEightNumber">#REF!</definedName>
    <definedName name="lineEightNumber.height">#REF!</definedName>
    <definedName name="lineEightNumber.revision">#REF!</definedName>
    <definedName name="lineEightNumber.value1">#REF!</definedName>
    <definedName name="lineEightNumber.value2">#REF!</definedName>
    <definedName name="lineEightNumber.value3">#REF!</definedName>
    <definedName name="lineEightNumber.value4">#REF!</definedName>
    <definedName name="lineEightNumber.value5">#REF!</definedName>
    <definedName name="lineEightNumber.value6">#REF!</definedName>
    <definedName name="lineEightNumber.value7">#REF!</definedName>
    <definedName name="lineEightNumber.value8">#REF!</definedName>
    <definedName name="lineEightNumber.width">#REF!</definedName>
    <definedName name="lineEightNumberTwoLines">#REF!</definedName>
    <definedName name="lineEightNumberTwoLines.height">#REF!</definedName>
    <definedName name="lineEightNumberTwoLines.revision">#REF!</definedName>
    <definedName name="lineEightNumberTwoLines.value1">#REF!</definedName>
    <definedName name="lineEightNumberTwoLines.value2">#REF!</definedName>
    <definedName name="lineEightNumberTwoLines.value3">#REF!</definedName>
    <definedName name="lineEightNumberTwoLines.value4">#REF!</definedName>
    <definedName name="lineEightNumberTwoLines.value5">#REF!</definedName>
    <definedName name="lineEightNumberTwoLines.value6">#REF!</definedName>
    <definedName name="lineEightNumberTwoLines.value7">#REF!</definedName>
    <definedName name="lineEightNumberTwoLines.value8">#REF!</definedName>
    <definedName name="lineEightNumberTwoLines.width">#REF!</definedName>
    <definedName name="lineEqdList">#REF!</definedName>
    <definedName name="lineEqdList.height">#REF!</definedName>
    <definedName name="lineEqdList.remark1">#REF!</definedName>
    <definedName name="lineEqdList.remark2">#REF!</definedName>
    <definedName name="lineEqdList.remark3">#REF!</definedName>
    <definedName name="lineEqdList.remark4">#REF!</definedName>
    <definedName name="lineEqdList.revision">#REF!</definedName>
    <definedName name="lineEqdList.value1">#REF!</definedName>
    <definedName name="lineEqdList.value2">#REF!</definedName>
    <definedName name="lineEqdList.value3">#REF!</definedName>
    <definedName name="lineEqdList.value4">#REF!</definedName>
    <definedName name="lineEqdList.width">#REF!</definedName>
    <definedName name="lineEqdListHeader">#REF!</definedName>
    <definedName name="lineEqdListHeader.height">#REF!</definedName>
    <definedName name="lineEqdListHeader.remark">#REF!</definedName>
    <definedName name="lineEqdListHeader.value1">#REF!</definedName>
    <definedName name="lineEqdListHeader.value2">#REF!</definedName>
    <definedName name="lineEqdListHeader.value3">#REF!</definedName>
    <definedName name="lineEqdListHeader.value4">#REF!</definedName>
    <definedName name="lineEqdListHeader.width">#REF!</definedName>
    <definedName name="lineEquipmentList">#REF!</definedName>
    <definedName name="lineEquipmentList.description">#REF!</definedName>
    <definedName name="lineEquipmentList.height">#REF!</definedName>
    <definedName name="lineEquipmentList.name">#REF!</definedName>
    <definedName name="lineEquipmentList.width">#REF!</definedName>
    <definedName name="lineEssarOilVadinar">#REF!</definedName>
    <definedName name="lineEssarOilVadinar.data1">#REF!</definedName>
    <definedName name="lineEssarOilVadinar.data10">#REF!</definedName>
    <definedName name="lineEssarOilVadinar.data11">#REF!</definedName>
    <definedName name="lineEssarOilVadinar.data12">#REF!</definedName>
    <definedName name="lineEssarOilVadinar.data2">#REF!</definedName>
    <definedName name="lineEssarOilVadinar.data5">#REF!</definedName>
    <definedName name="lineEssarOilVadinar.data6">#REF!</definedName>
    <definedName name="lineEssarOilVadinar.data7">#REF!</definedName>
    <definedName name="lineEssarOilVadinar.data8">#REF!</definedName>
    <definedName name="lineEssarOilVadinar.data9">#REF!</definedName>
    <definedName name="lineEssarOilVadinar.height">#REF!</definedName>
    <definedName name="lineEssarOilVadinar.width">#REF!</definedName>
    <definedName name="lineFourHeader">#REF!</definedName>
    <definedName name="lineFourHeader.height">#REF!</definedName>
    <definedName name="lineFourHeader.label">#REF!</definedName>
    <definedName name="lineFourHeader.remark1">#REF!</definedName>
    <definedName name="lineFourHeader.remark2">#REF!</definedName>
    <definedName name="lineFourHeader.remark3">#REF!</definedName>
    <definedName name="lineFourHeader.remark4">#REF!</definedName>
    <definedName name="lineFourHeader.revision">#REF!</definedName>
    <definedName name="lineFourHeader.uom">#REF!</definedName>
    <definedName name="lineFourHeader.value1">#REF!</definedName>
    <definedName name="lineFourHeader.value2">#REF!</definedName>
    <definedName name="lineFourHeader.value3">#REF!</definedName>
    <definedName name="lineFourHeader.value4">#REF!</definedName>
    <definedName name="lineFourHeader.width">#REF!</definedName>
    <definedName name="lineFourHeaderTable">#REF!</definedName>
    <definedName name="lineFourHeaderTable.height">#REF!</definedName>
    <definedName name="lineFourHeaderTable.label">#REF!</definedName>
    <definedName name="lineFourHeaderTable.revision">#REF!</definedName>
    <definedName name="lineFourHeaderTable.value1">#REF!</definedName>
    <definedName name="lineFourHeaderTable.value2">#REF!</definedName>
    <definedName name="lineFourHeaderTable.value3">#REF!</definedName>
    <definedName name="lineFourHeaderTable.value4">#REF!</definedName>
    <definedName name="lineFourHeaderTable.width">#REF!</definedName>
    <definedName name="lineFourNumber">#REF!</definedName>
    <definedName name="lineFourNumber.height">#REF!</definedName>
    <definedName name="lineFourNumber.label">#REF!</definedName>
    <definedName name="lineFourNumber.remark1">#REF!</definedName>
    <definedName name="lineFourNumber.remark2">#REF!</definedName>
    <definedName name="lineFourNumber.remark3">#REF!</definedName>
    <definedName name="lineFourNumber.remark4">#REF!</definedName>
    <definedName name="lineFourNumber.revision">#REF!</definedName>
    <definedName name="lineFourNumber.uom">#REF!</definedName>
    <definedName name="lineFourNumber.value1">#REF!</definedName>
    <definedName name="lineFourNumber.value2">#REF!</definedName>
    <definedName name="lineFourNumber.value3">#REF!</definedName>
    <definedName name="lineFourNumber.value4">#REF!</definedName>
    <definedName name="lineFourNumber.width">#REF!</definedName>
    <definedName name="lineFourNumberTable">#REF!</definedName>
    <definedName name="lineFourNumberTable.height">#REF!</definedName>
    <definedName name="lineFourNumberTable.label">#REF!</definedName>
    <definedName name="lineFourNumberTable.remark1">#REF!</definedName>
    <definedName name="lineFourNumberTable.remark2">#REF!</definedName>
    <definedName name="lineFourNumberTable.remark3">#REF!</definedName>
    <definedName name="lineFourNumberTable.remark4">#REF!</definedName>
    <definedName name="lineFourNumberTable.revision">#REF!</definedName>
    <definedName name="lineFourNumberTable.value1">#REF!</definedName>
    <definedName name="lineFourNumberTable.value2">#REF!</definedName>
    <definedName name="lineFourNumberTable.value3">#REF!</definedName>
    <definedName name="lineFourNumberTable.value4">#REF!</definedName>
    <definedName name="lineFourNumberTable.width">#REF!</definedName>
    <definedName name="lineGenericClientContractNumber">#REF!</definedName>
    <definedName name="lineGenericClientContractNumber.data1">#REF!</definedName>
    <definedName name="lineGenericClientContractNumber.height">#REF!</definedName>
    <definedName name="lineGenericClientContractNumber.width">#REF!</definedName>
    <definedName name="lineHalf">#REF!</definedName>
    <definedName name="lineHalf.height">#REF!</definedName>
    <definedName name="lineHalf.label">#REF!</definedName>
    <definedName name="lineHalf.remark">#REF!</definedName>
    <definedName name="lineHalf.revision">#REF!</definedName>
    <definedName name="lineHalf.uom">#REF!</definedName>
    <definedName name="lineHalf.value">#REF!</definedName>
    <definedName name="lineHalf.width">#REF!</definedName>
    <definedName name="lineHalfNozzle">#REF!</definedName>
    <definedName name="lineHalfNozzle.count">#REF!</definedName>
    <definedName name="lineHalfNozzle.height">#REF!</definedName>
    <definedName name="lineHalfNozzle.name">#REF!</definedName>
    <definedName name="lineHalfNozzle.revision">#REF!</definedName>
    <definedName name="lineHalfNozzle.size">#REF!</definedName>
    <definedName name="lineHalfNozzle.text">#REF!</definedName>
    <definedName name="lineHalfNozzle.width">#REF!</definedName>
    <definedName name="lineHalfNozzleHeader">#REF!</definedName>
    <definedName name="lineHalfNozzleHeader.height">#REF!</definedName>
    <definedName name="lineHalfNozzleHeader.width">#REF!</definedName>
    <definedName name="lineHalfRemark">#REF!</definedName>
    <definedName name="lineHalfRemark.height">#REF!</definedName>
    <definedName name="lineHalfRemark.label">#REF!</definedName>
    <definedName name="lineHalfRemark.revision">#REF!</definedName>
    <definedName name="lineHalfRemark.text">#REF!</definedName>
    <definedName name="lineHalfRemark.width">#REF!</definedName>
    <definedName name="lineHalfText">#REF!</definedName>
    <definedName name="lineHalfText.height">#REF!</definedName>
    <definedName name="lineHalfText.label">#REF!</definedName>
    <definedName name="lineHalfText.remark">#REF!</definedName>
    <definedName name="lineHalfText.revision">#REF!</definedName>
    <definedName name="lineHalfText.value">#REF!</definedName>
    <definedName name="lineHalfText.width">#REF!</definedName>
    <definedName name="lineKelheimLenzing">#REF!</definedName>
    <definedName name="lineKelheimLenzing.data1">#REF!</definedName>
    <definedName name="lineKelheimLenzing.data2">#REF!</definedName>
    <definedName name="lineKelheimLenzing.data3">#REF!</definedName>
    <definedName name="lineKelheimLenzing.data4">#REF!</definedName>
    <definedName name="lineKelheimLenzing.data5">#REF!</definedName>
    <definedName name="lineKelheimLenzing.data6">#REF!</definedName>
    <definedName name="lineKelheimLenzing.height">#REF!</definedName>
    <definedName name="lineKelheimLenzing.width">#REF!</definedName>
    <definedName name="lineKPI">#REF!</definedName>
    <definedName name="lineKPI.height">#REF!</definedName>
    <definedName name="lineKPI.width">#REF!</definedName>
    <definedName name="LineNo.">'[144]AOC design'!$A$50,'[144]AOC design'!$A$52,'[144]AOC design'!$A$54,'[144]AOC design'!$A$56,'[144]AOC design'!$A$58,'[144]AOC design'!$A$60,'[144]AOC design'!$A$62,'[144]AOC design'!$A$64,'[144]AOC design'!$A$66,'[144]AOC design'!$A$68,'[144]AOC design'!$A$70,'[144]AOC design'!$A$72,'[144]AOC design'!$A$74,'[144]AOC design'!$A$76,'[144]AOC design'!$A$78,'[144]AOC design'!$A$80,'[144]AOC design'!$A$82,'[144]AOC design'!$A$84,'[144]AOC design'!$A$86,'[144]AOC design'!$A$88,'[144]AOC design'!$A$90,'[144]AOC design'!$A$92,'[144]AOC design'!$A$94,'[144]AOC design'!$A$96,'[144]AOC design'!$A$98,'[144]AOC design'!$A$100,'[144]AOC design'!$A$102,'[144]AOC design'!$A$104,'[144]AOC design'!$A$106,'[144]AOC design'!$A$108,'[144]AOC design'!$A$110,'[144]AOC design'!$A$112,'[144]AOC design'!$A$114,'[144]AOC design'!$A$116,'[144]AOC design'!$A$118,'[144]AOC design'!$A$120,'[144]AOC design'!$A$122,'[144]AOC design'!$A$124,'[144]AOC design'!$A$126,'[144]AOC design'!$A$128,'[144]AOC design'!$A$130,'[144]AOC design'!$A$132</definedName>
    <definedName name="LINENO2">#REF!</definedName>
    <definedName name="lineNozzle">#REF!</definedName>
    <definedName name="lineNozzle.count">#REF!</definedName>
    <definedName name="lineNozzle.face">#REF!</definedName>
    <definedName name="lineNozzle.height">#REF!</definedName>
    <definedName name="lineNozzle.name">#REF!</definedName>
    <definedName name="lineNozzle.rating">#REF!</definedName>
    <definedName name="lineNozzle.remark">#REF!</definedName>
    <definedName name="lineNozzle.revision">#REF!</definedName>
    <definedName name="lineNozzle.size">#REF!</definedName>
    <definedName name="lineNozzle.text">#REF!</definedName>
    <definedName name="lineNozzle.width">#REF!</definedName>
    <definedName name="lineNozzleHeader">#REF!</definedName>
    <definedName name="lineNozzleHeader.count">#REF!</definedName>
    <definedName name="lineNozzleHeader.face">#REF!</definedName>
    <definedName name="lineNozzleHeader.height">#REF!</definedName>
    <definedName name="lineNozzleHeader.name">#REF!</definedName>
    <definedName name="lineNozzleHeader.rating">#REF!</definedName>
    <definedName name="lineNozzleHeader.size">#REF!</definedName>
    <definedName name="lineNozzleHeader.text">#REF!</definedName>
    <definedName name="lineNozzleHeader.width">#REF!</definedName>
    <definedName name="lineNumberText">#REF!</definedName>
    <definedName name="lineNumberText.height">#REF!</definedName>
    <definedName name="lineNumberText.label1">#REF!</definedName>
    <definedName name="lineNumberText.label2">#REF!</definedName>
    <definedName name="lineNumberText.remark1">#REF!</definedName>
    <definedName name="lineNumberText.remark2">#REF!</definedName>
    <definedName name="lineNumberText.revision">#REF!</definedName>
    <definedName name="lineNumberText.uom1">#REF!</definedName>
    <definedName name="lineNumberText.value1">#REF!</definedName>
    <definedName name="lineNumberText.value2">#REF!</definedName>
    <definedName name="lineNumberText.width">#REF!</definedName>
    <definedName name="linePacking">#REF!</definedName>
    <definedName name="linePacking.height">#REF!</definedName>
    <definedName name="linePacking.remark1">#REF!</definedName>
    <definedName name="linePacking.remark2">#REF!</definedName>
    <definedName name="linePacking.remark3">#REF!</definedName>
    <definedName name="linePacking.remark4">#REF!</definedName>
    <definedName name="linePacking.revision">#REF!</definedName>
    <definedName name="linePacking.uom1">#REF!</definedName>
    <definedName name="linePacking.uom2">#REF!</definedName>
    <definedName name="linePacking.value1">#REF!</definedName>
    <definedName name="linePacking.value2">#REF!</definedName>
    <definedName name="linePacking.value3">#REF!</definedName>
    <definedName name="linePacking.value4">#REF!</definedName>
    <definedName name="linePacking.width">#REF!</definedName>
    <definedName name="linePackingHeader">#REF!</definedName>
    <definedName name="linePackingHeader.height">#REF!</definedName>
    <definedName name="linePackingHeader.remark">#REF!</definedName>
    <definedName name="linePackingHeader.uom1">#REF!</definedName>
    <definedName name="linePackingHeader.uom2">#REF!</definedName>
    <definedName name="linePackingHeader.value1">#REF!</definedName>
    <definedName name="linePackingHeader.value2">#REF!</definedName>
    <definedName name="linePackingHeader.value3">#REF!</definedName>
    <definedName name="linePackingHeader.value4">#REF!</definedName>
    <definedName name="linePackingHeader.width">#REF!</definedName>
    <definedName name="linePetrobras">#REF!</definedName>
    <definedName name="linePetrobras.data1">#REF!</definedName>
    <definedName name="linePetrobras.height">#REF!</definedName>
    <definedName name="linePetrobras.width">#REF!</definedName>
    <definedName name="liner1">#REF!</definedName>
    <definedName name="lineRemark">#REF!</definedName>
    <definedName name="lineRemark.height">#REF!</definedName>
    <definedName name="lineRemark.label">#REF!</definedName>
    <definedName name="lineRemark.revision">#REF!</definedName>
    <definedName name="lineRemark.text">#REF!</definedName>
    <definedName name="lineRemark.width">#REF!</definedName>
    <definedName name="lineTechnipQatarPetroleum">#REF!</definedName>
    <definedName name="lineTechnipQatarPetroleum.data1">#REF!</definedName>
    <definedName name="lineTechnipQatarPetroleum.height">#REF!</definedName>
    <definedName name="lineTechnipQatarPetroleum.width">#REF!</definedName>
    <definedName name="lineText">#REF!</definedName>
    <definedName name="lineText.height">#REF!</definedName>
    <definedName name="lineText.label">#REF!</definedName>
    <definedName name="lineText.remark">#REF!</definedName>
    <definedName name="lineText.revision">#REF!</definedName>
    <definedName name="lineText.value">#REF!</definedName>
    <definedName name="lineText.width">#REF!</definedName>
    <definedName name="lineTextLongLabel">#REF!</definedName>
    <definedName name="lineTextLongLabel.height">#REF!</definedName>
    <definedName name="lineTextLongLabel.label">#REF!</definedName>
    <definedName name="lineTextLongLabel.remark">#REF!</definedName>
    <definedName name="lineTextLongLabel.revision">#REF!</definedName>
    <definedName name="lineTextLongLabel.value">#REF!</definedName>
    <definedName name="lineTextLongLabel.width">#REF!</definedName>
    <definedName name="lineTextNumber">#REF!</definedName>
    <definedName name="lineTextNumber.height">#REF!</definedName>
    <definedName name="lineTextNumber.label1">#REF!</definedName>
    <definedName name="lineTextNumber.label2">#REF!</definedName>
    <definedName name="lineTextNumber.remark1">#REF!</definedName>
    <definedName name="lineTextNumber.remark2">#REF!</definedName>
    <definedName name="lineTextNumber.revision">#REF!</definedName>
    <definedName name="lineTextNumber.uom2">#REF!</definedName>
    <definedName name="lineTextNumber.value1">#REF!</definedName>
    <definedName name="lineTextNumber.value2">#REF!</definedName>
    <definedName name="lineTextNumber.width">#REF!</definedName>
    <definedName name="lineTwoHeader">#REF!</definedName>
    <definedName name="lineTwoHeader.height">#REF!</definedName>
    <definedName name="lineTwoHeader.text1">#REF!</definedName>
    <definedName name="lineTwoHeader.text2">#REF!</definedName>
    <definedName name="lineTwoHeader.width">#REF!</definedName>
    <definedName name="lineTwoHeaderLow">#REF!</definedName>
    <definedName name="lineTwoHeaderLow.height">#REF!</definedName>
    <definedName name="lineTwoHeaderLow.text1">#REF!</definedName>
    <definedName name="lineTwoHeaderLow.text2">#REF!</definedName>
    <definedName name="lineTwoHeaderLow.width">#REF!</definedName>
    <definedName name="lineTwoNozzle">#REF!</definedName>
    <definedName name="lineTwoNozzle.count1">#REF!</definedName>
    <definedName name="lineTwoNozzle.count2">#REF!</definedName>
    <definedName name="lineTwoNozzle.height">#REF!</definedName>
    <definedName name="lineTwoNozzle.name1">#REF!</definedName>
    <definedName name="lineTwoNozzle.name2">#REF!</definedName>
    <definedName name="lineTwoNozzle.revision">#REF!</definedName>
    <definedName name="lineTwoNozzle.size1">#REF!</definedName>
    <definedName name="lineTwoNozzle.size2">#REF!</definedName>
    <definedName name="lineTwoNozzle.text1">#REF!</definedName>
    <definedName name="lineTwoNozzle.text2">#REF!</definedName>
    <definedName name="lineTwoNozzle.width">#REF!</definedName>
    <definedName name="lineTwoNozzleHeader">#REF!</definedName>
    <definedName name="lineTwoNozzleHeader.height">#REF!</definedName>
    <definedName name="lineTwoNozzleHeader.width">#REF!</definedName>
    <definedName name="lineTwoNumber">#REF!</definedName>
    <definedName name="lineTwoNumber.height">#REF!</definedName>
    <definedName name="lineTwoNumber.label1">#REF!</definedName>
    <definedName name="lineTwoNumber.label2">#REF!</definedName>
    <definedName name="lineTwoNumber.remark1">#REF!</definedName>
    <definedName name="lineTwoNumber.remark2">#REF!</definedName>
    <definedName name="lineTwoNumber.revision">#REF!</definedName>
    <definedName name="lineTwoNumber.uom1">#REF!</definedName>
    <definedName name="lineTwoNumber.uom2">#REF!</definedName>
    <definedName name="lineTwoNumber.value1">#REF!</definedName>
    <definedName name="lineTwoNumber.value2">#REF!</definedName>
    <definedName name="lineTwoNumber.width">#REF!</definedName>
    <definedName name="lineTwoText">#REF!</definedName>
    <definedName name="lineTwoText.height">#REF!</definedName>
    <definedName name="lineTwoText.label1">#REF!</definedName>
    <definedName name="lineTwoText.label2">#REF!</definedName>
    <definedName name="lineTwoText.remark1">#REF!</definedName>
    <definedName name="lineTwoText.remark2">#REF!</definedName>
    <definedName name="lineTwoText.revision">#REF!</definedName>
    <definedName name="lineTwoText.value1">#REF!</definedName>
    <definedName name="lineTwoText.value2">#REF!</definedName>
    <definedName name="lineTwoText.width">#REF!</definedName>
    <definedName name="lineVotorantim">#REF!</definedName>
    <definedName name="lineVotorantim.data1">#REF!</definedName>
    <definedName name="lineVotorantim.height">#REF!</definedName>
    <definedName name="lineVotorantim.width">#REF!</definedName>
    <definedName name="liq">#REF!</definedName>
    <definedName name="LIS_F">#REF!</definedName>
    <definedName name="LISFP">#REF!</definedName>
    <definedName name="LIST">#REF!</definedName>
    <definedName name="List1">'[24]SYSTEM 945 Air&amp;Nitrogen'!#REF!</definedName>
    <definedName name="ListBox13_Change">[45]!ListBox13_Change</definedName>
    <definedName name="Listhull">'[129]SYSTEM 945 Air&amp;Nitrogen'!#REF!</definedName>
    <definedName name="listofdeviations">#REF!</definedName>
    <definedName name="live">#REF!</definedName>
    <definedName name="lk"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GDSAEF" localSheetId="5" hidden="1">{#N/A,#N/A,FALSE,"CCTV"}</definedName>
    <definedName name="LKGDSAEF" hidden="1">{#N/A,#N/A,FALSE,"CCTV"}</definedName>
    <definedName name="lkjjh">#REF!</definedName>
    <definedName name="lklhlkjl" localSheetId="5" hidden="1">{#N/A,#N/A,FALSE,"CCTV"}</definedName>
    <definedName name="lklhlkjl" hidden="1">{#N/A,#N/A,FALSE,"CCTV"}</definedName>
    <definedName name="ll" localSheetId="5" hidden="1">{"'照明目录'!$A$1:$H$31"}</definedName>
    <definedName name="ll" hidden="1">{"'照明目录'!$A$1:$H$31"}</definedName>
    <definedName name="lll"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llsr">#REF!</definedName>
    <definedName name="LM">#REF!</definedName>
    <definedName name="lnt">#REF!</definedName>
    <definedName name="lntecc">#REF!</definedName>
    <definedName name="lntecc.com">#REF!</definedName>
    <definedName name="LO">#REF!</definedName>
    <definedName name="LOC_F">#REF!</definedName>
    <definedName name="LOCATION">[66]LEGEND!$D$7</definedName>
    <definedName name="lohari" localSheetId="5" hidden="1">{"form-D1",#N/A,FALSE,"FORM-D1";"form-D1_amt",#N/A,FALSE,"FORM-D1"}</definedName>
    <definedName name="lohari" hidden="1">{"form-D1",#N/A,FALSE,"FORM-D1";"form-D1_amt",#N/A,FALSE,"FORM-D1"}</definedName>
    <definedName name="loi" localSheetId="5" hidden="1">{#N/A,#N/A,TRUE,"Front";#N/A,#N/A,TRUE,"Simple Letter";#N/A,#N/A,TRUE,"Inside";#N/A,#N/A,TRUE,"Contents";#N/A,#N/A,TRUE,"Basis";#N/A,#N/A,TRUE,"Inclusions";#N/A,#N/A,TRUE,"Exclusions";#N/A,#N/A,TRUE,"Areas";#N/A,#N/A,TRUE,"Summary";#N/A,#N/A,TRUE,"Detail"}</definedName>
    <definedName name="loi" hidden="1">{#N/A,#N/A,TRUE,"Front";#N/A,#N/A,TRUE,"Simple Letter";#N/A,#N/A,TRUE,"Inside";#N/A,#N/A,TRUE,"Contents";#N/A,#N/A,TRUE,"Basis";#N/A,#N/A,TRUE,"Inclusions";#N/A,#N/A,TRUE,"Exclusions";#N/A,#N/A,TRUE,"Areas";#N/A,#N/A,TRUE,"Summary";#N/A,#N/A,TRUE,"Detail"}</definedName>
    <definedName name="LOOP_F">#REF!</definedName>
    <definedName name="lower">#REF!</definedName>
    <definedName name="Lp">#REF!</definedName>
    <definedName name="Lr">#REF!</definedName>
    <definedName name="Lr___0">#REF!</definedName>
    <definedName name="Lr___13">#REF!</definedName>
    <definedName name="ls">#REF!</definedName>
    <definedName name="LS_1">#REF!</definedName>
    <definedName name="LSA">#REF!</definedName>
    <definedName name="LSA_1">#REF!</definedName>
    <definedName name="Lsp">'[58]288-1'!#REF!</definedName>
    <definedName name="LT">#REF!</definedName>
    <definedName name="LUMEN">#REF!</definedName>
    <definedName name="LUMEN___0">#REF!</definedName>
    <definedName name="LUMEN___13">#REF!</definedName>
    <definedName name="lumnm" localSheetId="5" hidden="1">{#N/A,#N/A,TRUE,"Front";#N/A,#N/A,TRUE,"Simple Letter";#N/A,#N/A,TRUE,"Inside";#N/A,#N/A,TRUE,"Contents";#N/A,#N/A,TRUE,"Basis";#N/A,#N/A,TRUE,"Inclusions";#N/A,#N/A,TRUE,"Exclusions";#N/A,#N/A,TRUE,"Areas";#N/A,#N/A,TRUE,"Summary";#N/A,#N/A,TRUE,"Detail"}</definedName>
    <definedName name="lumnm" hidden="1">{#N/A,#N/A,TRUE,"Front";#N/A,#N/A,TRUE,"Simple Letter";#N/A,#N/A,TRUE,"Inside";#N/A,#N/A,TRUE,"Contents";#N/A,#N/A,TRUE,"Basis";#N/A,#N/A,TRUE,"Inclusions";#N/A,#N/A,TRUE,"Exclusions";#N/A,#N/A,TRUE,"Areas";#N/A,#N/A,TRUE,"Summary";#N/A,#N/A,TRUE,"Detail"}</definedName>
    <definedName name="LUX">#REF!</definedName>
    <definedName name="LUX___0">#REF!</definedName>
    <definedName name="LUX___13">#REF!</definedName>
    <definedName name="lVC">#REF!</definedName>
    <definedName name="Lwu">[47]basdat!#REF!</definedName>
    <definedName name="Lwv">[47]basdat!#REF!</definedName>
    <definedName name="lx">#REF!</definedName>
    <definedName name="Lx___0">#REF!</definedName>
    <definedName name="Lx___13">#REF!</definedName>
    <definedName name="ly">#REF!</definedName>
    <definedName name="lz">#REF!</definedName>
    <definedName name="m">'[58]288-1'!#REF!</definedName>
    <definedName name="m_">#REF!</definedName>
    <definedName name="m___0">#REF!</definedName>
    <definedName name="m___13">#REF!</definedName>
    <definedName name="M_01">#REF!</definedName>
    <definedName name="M_2.02">'[116] CABLE'!#REF!</definedName>
    <definedName name="m_2.04">#REF!</definedName>
    <definedName name="M_2.05">#REF!</definedName>
    <definedName name="m_2.06">#REF!</definedName>
    <definedName name="M_2.07">#REF!</definedName>
    <definedName name="M_2.08">#REF!</definedName>
    <definedName name="M_2.09">#REF!</definedName>
    <definedName name="M_2.10">#REF!</definedName>
    <definedName name="M_2.11">#REF!</definedName>
    <definedName name="M_2.12">#REF!</definedName>
    <definedName name="M_2.13">#REF!</definedName>
    <definedName name="M_2.14">#REF!</definedName>
    <definedName name="M_25_box_Culvert">#REF!</definedName>
    <definedName name="M_TS">'[40]INNER TANK'!$E$6</definedName>
    <definedName name="M_Water">[140]Material!$D$146</definedName>
    <definedName name="M_WellGradedGranularBaseMaterial_GradeA_236mm">[140]Material!$D$147</definedName>
    <definedName name="M_WellGradedGranularBaseMaterial_GradeA_265_475mm">[140]Material!$D$148</definedName>
    <definedName name="M_WellGradedGranularBaseMaterial_GradeA_53_265mm">[140]Material!$D$149</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00.">#REF!</definedName>
    <definedName name="M12aE" localSheetId="5" hidden="1">{"'照明目录'!$A$1:$H$31"}</definedName>
    <definedName name="M12aE" hidden="1">{"'照明目录'!$A$1:$H$31"}</definedName>
    <definedName name="M15_Cement">#REF!</definedName>
    <definedName name="M15_Metal20mm">#REF!</definedName>
    <definedName name="M15_Sand">#REF!</definedName>
    <definedName name="m15cem">[39]Analysis!$D$311</definedName>
    <definedName name="M1x">[49]Design!#REF!</definedName>
    <definedName name="M1y">[49]Design!#REF!</definedName>
    <definedName name="M20_cement">#REF!</definedName>
    <definedName name="M20_Metal20mm">#REF!</definedName>
    <definedName name="M20_sand">#REF!</definedName>
    <definedName name="m20cement">[39]Analysis!$D$332</definedName>
    <definedName name="m20metal20">[39]Analysis!$D$345</definedName>
    <definedName name="m20sand">[39]Analysis!$D$333</definedName>
    <definedName name="M25_cement">#REF!</definedName>
    <definedName name="M25_Metal20mm">#REF!</definedName>
    <definedName name="M25_sand">#REF!</definedName>
    <definedName name="M2x">[49]Design!#REF!</definedName>
    <definedName name="M2y">[49]Design!#REF!</definedName>
    <definedName name="Ma">[127]Timesheet!#REF!</definedName>
    <definedName name="Ma_v">[127]Timesheet!#REF!</definedName>
    <definedName name="MAC">'[145]SYSTEM 945 Air&amp;Nitrogen'!#REF!</definedName>
    <definedName name="MACC">'[146]SYSTEM 945 Air&amp;Nitrogen'!#REF!</definedName>
    <definedName name="Macro1">'[29]PM Demolition '!Macro1</definedName>
    <definedName name="macro11">'[29]PM Demolition '!macro11</definedName>
    <definedName name="Macro20">'[29]PM Demolition '!Macro20</definedName>
    <definedName name="macro200">'[29]PM Demolition '!macro200</definedName>
    <definedName name="macro201">'[29]PM Demolition '!macro201</definedName>
    <definedName name="MACROY_1">#N/A</definedName>
    <definedName name="MACROY_1_1">#N/A</definedName>
    <definedName name="MACROY_1_10">#N/A</definedName>
    <definedName name="MACROY_1_11">#N/A</definedName>
    <definedName name="MACROY_1_12">#N/A</definedName>
    <definedName name="MACROY_1_4">#N/A</definedName>
    <definedName name="MACROY_1_6">#N/A</definedName>
    <definedName name="MACROY_1_7">#N/A</definedName>
    <definedName name="MACROY_1_8">#N/A</definedName>
    <definedName name="MACROY_1_9">#N/A</definedName>
    <definedName name="madhab">#REF!</definedName>
    <definedName name="MAIN_AB">#REF!</definedName>
    <definedName name="MAIN_AB_1">#REF!</definedName>
    <definedName name="MAIN_CR">#REF!</definedName>
    <definedName name="MAIN_CR_1">#REF!</definedName>
    <definedName name="MAIN_DB">#REF!</definedName>
    <definedName name="MAIN_DB_1">#REF!</definedName>
    <definedName name="MAIN_DF">#REF!</definedName>
    <definedName name="MAIN_DF_1">#REF!</definedName>
    <definedName name="MAIN_EN">#REF!</definedName>
    <definedName name="MAIN_EN_1">#REF!</definedName>
    <definedName name="MAIN_MA">#REF!</definedName>
    <definedName name="MAIN_MA_1">#REF!</definedName>
    <definedName name="MAJ_CON_EQP">#REF!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power" localSheetId="5" hidden="1">{"Total Indirect Manpower",#N/A,FALSE,"J";"Total Direct Manpower",#N/A,FALSE,"J";"Direct Structural Manpower",#N/A,FALSE,"J";"Direct Mechanical Manpower",#N/A,FALSE,"J";"Direct Piping Manpower",#N/A,FALSE,"J";"Direct Tanks Manpower",#N/A,FALSE,"J";"Direct ElecInstrSS Manpower",#N/A,FALSE,"J"}</definedName>
    <definedName name="manpower" hidden="1">{"Total Indirect Manpower",#N/A,FALSE,"J";"Total Direct Manpower",#N/A,FALSE,"J";"Direct Structural Manpower",#N/A,FALSE,"J";"Direct Mechanical Manpower",#N/A,FALSE,"J";"Direct Piping Manpower",#N/A,FALSE,"J";"Direct Tanks Manpower",#N/A,FALSE,"J";"Direct ElecInstrSS Manpower",#N/A,FALSE,"J"}</definedName>
    <definedName name="march_qty">#REF!</definedName>
    <definedName name="MarkIdx">[118]Data!#REF!</definedName>
    <definedName name="masaru">#REF!</definedName>
    <definedName name="mason1">'[42]Labour &amp; Plant'!$C$14</definedName>
    <definedName name="mason2">'[42]Labour &amp; Plant'!$C$15</definedName>
    <definedName name="Masonry">'[87]DGchitiet '!#REF!</definedName>
    <definedName name="mass_flow">#REF!</definedName>
    <definedName name="mat" localSheetId="5" hidden="1">{#N/A,#N/A,TRUE,"Front";#N/A,#N/A,TRUE,"Simple Letter";#N/A,#N/A,TRUE,"Inside";#N/A,#N/A,TRUE,"Contents";#N/A,#N/A,TRUE,"Basis";#N/A,#N/A,TRUE,"Inclusions";#N/A,#N/A,TRUE,"Exclusions";#N/A,#N/A,TRUE,"Areas";#N/A,#N/A,TRUE,"Summary";#N/A,#N/A,TRUE,"Detail"}</definedName>
    <definedName name="mat" hidden="1">{#N/A,#N/A,TRUE,"Front";#N/A,#N/A,TRUE,"Simple Letter";#N/A,#N/A,TRUE,"Inside";#N/A,#N/A,TRUE,"Contents";#N/A,#N/A,TRUE,"Basis";#N/A,#N/A,TRUE,"Inclusions";#N/A,#N/A,TRUE,"Exclusions";#N/A,#N/A,TRUE,"Areas";#N/A,#N/A,TRUE,"Summary";#N/A,#N/A,TRUE,"Detail"}</definedName>
    <definedName name="Mate">[67]Basicrates!$D$148</definedName>
    <definedName name="material">#REF!</definedName>
    <definedName name="MATERIAL_1">#REF!</definedName>
    <definedName name="Material_Group">#REF!</definedName>
    <definedName name="MATERIALS">[40]MATERIALS!$A$6:$J$85</definedName>
    <definedName name="MATL_Rate">#REF!</definedName>
    <definedName name="may">#REF!</definedName>
    <definedName name="mayumi">#REF!</definedName>
    <definedName name="Mb">[127]Timesheet!#REF!</definedName>
    <definedName name="Mb_v">[127]Timesheet!#REF!</definedName>
    <definedName name="mbangtai10">#REF!</definedName>
    <definedName name="mbangtai100">#REF!</definedName>
    <definedName name="mbangtai15">#REF!</definedName>
    <definedName name="mbangtai150">#REF!</definedName>
    <definedName name="mbangtai25">#REF!</definedName>
    <definedName name="MBCP">[21]Closing!$C$65</definedName>
    <definedName name="MBCTS">[21]Closing!$E$65</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c">[127]Timesheet!#REF!</definedName>
    <definedName name="Mc_v">[127]Timesheet!#REF!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CO" localSheetId="5" hidden="1">{#N/A,#N/A,FALSE,"CCTV"}</definedName>
    <definedName name="MCCO" hidden="1">{#N/A,#N/A,FALSE,"CCTV"}</definedName>
    <definedName name="MCCO10" localSheetId="5" hidden="1">{#N/A,#N/A,FALSE,"CCTV"}</definedName>
    <definedName name="MCCO10" hidden="1">{#N/A,#N/A,FALSE,"CCTV"}</definedName>
    <definedName name="MCCO11" localSheetId="5" hidden="1">{#N/A,#N/A,FALSE,"CCTV"}</definedName>
    <definedName name="MCCO11" hidden="1">{#N/A,#N/A,FALSE,"CCTV"}</definedName>
    <definedName name="MCCO12" localSheetId="5" hidden="1">{#N/A,#N/A,FALSE,"CCTV"}</definedName>
    <definedName name="MCCO12" hidden="1">{#N/A,#N/A,FALSE,"CCTV"}</definedName>
    <definedName name="MCCO13" localSheetId="5" hidden="1">{#N/A,#N/A,FALSE,"CCTV"}</definedName>
    <definedName name="MCCO13" hidden="1">{#N/A,#N/A,FALSE,"CCTV"}</definedName>
    <definedName name="MCCO3" localSheetId="5" hidden="1">{#N/A,#N/A,FALSE,"CCTV"}</definedName>
    <definedName name="MCCO3" hidden="1">{#N/A,#N/A,FALSE,"CCTV"}</definedName>
    <definedName name="MCCO4" localSheetId="5" hidden="1">{#N/A,#N/A,FALSE,"CCTV"}</definedName>
    <definedName name="MCCO4" hidden="1">{#N/A,#N/A,FALSE,"CCTV"}</definedName>
    <definedName name="MCCO5" localSheetId="5" hidden="1">{#N/A,#N/A,FALSE,"CCTV"}</definedName>
    <definedName name="MCCO5" hidden="1">{#N/A,#N/A,FALSE,"CCTV"}</definedName>
    <definedName name="MCCO6" localSheetId="5" hidden="1">{#N/A,#N/A,FALSE,"CCTV"}</definedName>
    <definedName name="MCCO6" hidden="1">{#N/A,#N/A,FALSE,"CCTV"}</definedName>
    <definedName name="MCCO7" localSheetId="5" hidden="1">{#N/A,#N/A,FALSE,"CCTV"}</definedName>
    <definedName name="MCCO7" hidden="1">{#N/A,#N/A,FALSE,"CCTV"}</definedName>
    <definedName name="MCCO8" localSheetId="5" hidden="1">{#N/A,#N/A,FALSE,"CCTV"}</definedName>
    <definedName name="MCCO8" hidden="1">{#N/A,#N/A,FALSE,"CCTV"}</definedName>
    <definedName name="MCCO9" localSheetId="5" hidden="1">{#N/A,#N/A,FALSE,"CCTV"}</definedName>
    <definedName name="MCCO9" hidden="1">{#N/A,#N/A,FALSE,"CCTV"}</definedName>
    <definedName name="MCCOÙ" localSheetId="5" hidden="1">{#N/A,#N/A,FALSE,"CCTV"}</definedName>
    <definedName name="MCCOÙ" hidden="1">{#N/A,#N/A,FALSE,"CCTV"}</definedName>
    <definedName name="mcuakl1.7">#REF!</definedName>
    <definedName name="MD">#REF!</definedName>
    <definedName name="MD_">#REF!</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o">#REF!</definedName>
    <definedName name="MDR">#REF!</definedName>
    <definedName name="MDR_Documents">#REF!</definedName>
    <definedName name="MDS_N">#REF!</definedName>
    <definedName name="MDS_UNT">#REF!</definedName>
    <definedName name="me">#REF!</definedName>
    <definedName name="Meb">#REF!</definedName>
    <definedName name="Mecaanical">#REF!</definedName>
    <definedName name="mech_CPC">#REF!</definedName>
    <definedName name="mech_CPC1">#REF!</definedName>
    <definedName name="Mech_List">#REF!</definedName>
    <definedName name="MEMBER">#REF!</definedName>
    <definedName name="MEMNO">#REF!</definedName>
    <definedName name="Meo">#REF!</definedName>
    <definedName name="mepcocsau1">#REF!</definedName>
    <definedName name="mepcoctr100">#REF!</definedName>
    <definedName name="mepcoctr60">#REF!</definedName>
    <definedName name="metal">[39]Analysis!$D$345</definedName>
    <definedName name="Metal_124">#REF!</definedName>
    <definedName name="MetalWork">'[87]DGchitiet '!#REF!</definedName>
    <definedName name="MEW">#REF!</definedName>
    <definedName name="Mex">#REF!</definedName>
    <definedName name="Mey">#REF!</definedName>
    <definedName name="MF">#REF!</definedName>
    <definedName name="MF___0">#REF!</definedName>
    <definedName name="MF___13">#REF!</definedName>
    <definedName name="mff">#REF!</definedName>
    <definedName name="mfg_process">[147]MFG_TAG!$A$1:$X$27</definedName>
    <definedName name="MFG_TAG">[148]Sheet1!$A$1:$X$27</definedName>
    <definedName name="MG_A">#REF!</definedName>
    <definedName name="mha" localSheetId="5">trec</definedName>
    <definedName name="mha">trec</definedName>
    <definedName name="mha_1" localSheetId="5">trec_1</definedName>
    <definedName name="mha_1">trec_1</definedName>
    <definedName name="mha_6" localSheetId="5">trec_6</definedName>
    <definedName name="mha_6">trec_6</definedName>
    <definedName name="mha_7" localSheetId="5">trec_7</definedName>
    <definedName name="mha_7">trec_7</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jj" localSheetId="5" hidden="1">{"'Bill No. 7'!$A$1:$G$32"}</definedName>
    <definedName name="mhjj" localSheetId="1" hidden="1">{"'Bill No. 7'!$A$1:$G$32"}</definedName>
    <definedName name="mhjj" hidden="1">{"'Bill No. 7'!$A$1:$G$32"}</definedName>
    <definedName name="Mhpc">[127]Timesheet!#REF!:[127]Timesheet!#REF!</definedName>
    <definedName name="Mhpipd">[127]Timesheet!#REF!</definedName>
    <definedName name="Mhps">[127]Timesheet!#REF!</definedName>
    <definedName name="mhr">#REF!</definedName>
    <definedName name="mhr_rate">#REF!</definedName>
    <definedName name="mht">#REF!</definedName>
    <definedName name="mhtt">#REF!</definedName>
    <definedName name="mic">'[64]SYSTEM 945 Air&amp;Nitrogen'!#REF!</definedName>
    <definedName name="min_t">'[40]INNER TANK'!$E$32</definedName>
    <definedName name="Mipc">[127]Timesheet!#REF!:[127]Timesheet!#REF!</definedName>
    <definedName name="Mips">[127]Timesheet!#REF!</definedName>
    <definedName name="Misc_Matl_Rate">#REF!</definedName>
    <definedName name="MiscellaneousWork">'[87]DGchitiet '!#REF!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lpc">[127]Timesheet!#REF!</definedName>
    <definedName name="Mlpd">[127]Timesheet!#REF!</definedName>
    <definedName name="Mlps">[127]Timesheet!#REF!</definedName>
    <definedName name="mluoncap15">#REF!</definedName>
    <definedName name="Mm">#REF!</definedName>
    <definedName name="Mm_">#REF!</definedName>
    <definedName name="mmai2.7">#REF!</definedName>
    <definedName name="mmmmm" localSheetId="5" hidden="1">{#N/A,#N/A,FALSE,"CCTV"}</definedName>
    <definedName name="mmmmm" hidden="1">{#N/A,#N/A,FALSE,"CCTV"}</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nk">#REF!</definedName>
    <definedName name="mno">'[149]WORKING SHEET SS#35'!$H$4</definedName>
    <definedName name="MO">#REF!</definedName>
    <definedName name="MOD_1_90">'[90]F.D.'!#REF!</definedName>
    <definedName name="MODULE">'[150]MASTER DATA'!$K$2:$K$29</definedName>
    <definedName name="Mom">#REF!</definedName>
    <definedName name="Mom_">#REF!</definedName>
    <definedName name="Monnaie">#REF!</definedName>
    <definedName name="morita">#REF!</definedName>
    <definedName name="moritavn">#REF!</definedName>
    <definedName name="MOS">#REF!</definedName>
    <definedName name="Mot">#REF!</definedName>
    <definedName name="motodk150">#REF!</definedName>
    <definedName name="motodk180">#REF!</definedName>
    <definedName name="motodk200">#REF!</definedName>
    <definedName name="motodk240">#REF!</definedName>
    <definedName name="motodk255">#REF!</definedName>
    <definedName name="motodk272">#REF!</definedName>
    <definedName name="MOTOR1">#REF!</definedName>
    <definedName name="MotorData">#REF!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ow">#REF!</definedName>
    <definedName name="Mowt">#REF!</definedName>
    <definedName name="MP" localSheetId="5" hidden="1">{#N/A,#N/A,FALSE,"CCTV"}</definedName>
    <definedName name="MP" hidden="1">{#N/A,#N/A,FALSE,"CCTV"}</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raibtsp500">#REF!</definedName>
    <definedName name="mraintn100">#REF!</definedName>
    <definedName name="mraintn65">#REF!</definedName>
    <definedName name="mromooc14">#REF!</definedName>
    <definedName name="mromooc15">#REF!</definedName>
    <definedName name="mromooc2">#REF!</definedName>
    <definedName name="mromooc21">#REF!</definedName>
    <definedName name="mromooc4">#REF!</definedName>
    <definedName name="mromooc7.5">#REF!</definedName>
    <definedName name="ms">#REF!</definedName>
    <definedName name="MS200202rev2">#REF!</definedName>
    <definedName name="ms2002may1706">#REF!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B">#REF!</definedName>
    <definedName name="MSF">#REF!</definedName>
    <definedName name="msjune1807">#REF!</definedName>
    <definedName name="mso">#REF!</definedName>
    <definedName name="msraju" localSheetId="5" hidden="1">{"'Sheet1'!$A$4386:$N$4591"}</definedName>
    <definedName name="msraju" hidden="1">{"'Sheet1'!$A$4386:$N$4591"}</definedName>
    <definedName name="Mt">#REF!</definedName>
    <definedName name="mtaukeo150">#REF!</definedName>
    <definedName name="mtaukeo360">#REF!</definedName>
    <definedName name="mtaukeo600">#REF!</definedName>
    <definedName name="mtbipvlan150">#REF!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o">#REF!</definedName>
    <definedName name="MTOF">#REF!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twt">#REF!</definedName>
    <definedName name="mub">#REF!</definedName>
    <definedName name="muonong2.8">#REF!</definedName>
    <definedName name="mut">#REF!</definedName>
    <definedName name="mvanthang0.3">#REF!</definedName>
    <definedName name="mvanthang0.5">#REF!</definedName>
    <definedName name="mvanthang2">#REF!</definedName>
    <definedName name="mw">#REF!</definedName>
    <definedName name="Mwb">#REF!</definedName>
    <definedName name="MWF">#REF!</definedName>
    <definedName name="mwt">#REF!</definedName>
    <definedName name="Mx">#REF!</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le">#REF!</definedName>
    <definedName name="MyList">#REF!</definedName>
    <definedName name="mz">#REF!</definedName>
    <definedName name="n">#REF!</definedName>
    <definedName name="N.1">#REF!</definedName>
    <definedName name="N.2">#REF!</definedName>
    <definedName name="n_">#REF!</definedName>
    <definedName name="N___0">#REF!</definedName>
    <definedName name="N___13">#REF!</definedName>
    <definedName name="n_deff">#REF!</definedName>
    <definedName name="n1x">#REF!</definedName>
    <definedName name="n1y">#REF!</definedName>
    <definedName name="n2x">#REF!</definedName>
    <definedName name="n2y">#REF!</definedName>
    <definedName name="na"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Name">#REF!</definedName>
    <definedName name="NAME1610">'[86]Electrical R01'!#REF!</definedName>
    <definedName name="Nariman_Point_Car_Parking_Site">#REF!</definedName>
    <definedName name="Nave">#REF!</definedName>
    <definedName name="Nb_Ring">'[40]INNER TANK'!$E$13</definedName>
    <definedName name="nbc" localSheetId="5" hidden="1">{#N/A,#N/A,TRUE,"Front";#N/A,#N/A,TRUE,"Simple Letter";#N/A,#N/A,TRUE,"Inside";#N/A,#N/A,TRUE,"Contents";#N/A,#N/A,TRUE,"Basis";#N/A,#N/A,TRUE,"Inclusions";#N/A,#N/A,TRUE,"Exclusions";#N/A,#N/A,TRUE,"Areas";#N/A,#N/A,TRUE,"Summary";#N/A,#N/A,TRUE,"Detail"}</definedName>
    <definedName name="nbc" hidden="1">{#N/A,#N/A,TRUE,"Front";#N/A,#N/A,TRUE,"Simple Letter";#N/A,#N/A,TRUE,"Inside";#N/A,#N/A,TRUE,"Contents";#N/A,#N/A,TRUE,"Basis";#N/A,#N/A,TRUE,"Inclusions";#N/A,#N/A,TRUE,"Exclusions";#N/A,#N/A,TRUE,"Areas";#N/A,#N/A,TRUE,"Summary";#N/A,#N/A,TRUE,"Detail"}</definedName>
    <definedName name="nbvnbvasdasdqwewr">#REF!</definedName>
    <definedName name="nc">#REF!</definedName>
    <definedName name="NCcap0.7">#REF!</definedName>
    <definedName name="NCcap1">#REF!</definedName>
    <definedName name="ncong">#REF!</definedName>
    <definedName name="ndeff">#REF!</definedName>
    <definedName name="ndeff_">#REF!</definedName>
    <definedName name="NET">#REF!</definedName>
    <definedName name="NET_1">#REF!</definedName>
    <definedName name="NET_ANA">#REF!</definedName>
    <definedName name="NET_ANA_1">#REF!</definedName>
    <definedName name="NET_ANA_2">#REF!</definedName>
    <definedName name="new">'[151]WORKING SHEET SS#35'!$H$4</definedName>
    <definedName name="NEWNA"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NEWNAME" localSheetId="5" hidden="1">{#N/A,#N/A,FALSE,"CCTV"}</definedName>
    <definedName name="NEWNAME" hidden="1">{#N/A,#N/A,FALSE,"CCTV"}</definedName>
    <definedName name="NH">#REF!</definedName>
    <definedName name="NHAÂN_COÂNG" localSheetId="5">[0]!BTRAM</definedName>
    <definedName name="NHAÂN_COÂNG">[0]!BTRAM</definedName>
    <definedName name="NHot">#REF!</definedName>
    <definedName name="ni">#REF!</definedName>
    <definedName name="nkknk" localSheetId="5" hidden="1">{#N/A,#N/A,FALSE,"CCTV"}</definedName>
    <definedName name="nkknk" hidden="1">{#N/A,#N/A,FALSE,"CCTV"}</definedName>
    <definedName name="NL">#REF!</definedName>
    <definedName name="NMASC1" localSheetId="5" hidden="1">{"'Sheet1'!$A$4386:$N$4591"}</definedName>
    <definedName name="NMASC1" hidden="1">{"'Sheet1'!$A$4386:$N$4591"}</definedName>
    <definedName name="nmk">#REF!</definedName>
    <definedName name="nmr">'[152]P&amp;L-1.'!#REF!</definedName>
    <definedName name="NN">#REF!</definedName>
    <definedName name="NN___0">#REF!</definedName>
    <definedName name="NN___13">#REF!</definedName>
    <definedName name="NNHNHN">#REF!</definedName>
    <definedName name="nnjc">#REF!</definedName>
    <definedName name="NNNNNNNNNNN">#REF!</definedName>
    <definedName name="nnr">#REF!</definedName>
    <definedName name="No">[55]Calendar!#REF!</definedName>
    <definedName name="NO_OF_MH">[55]Calendar!#REF!</definedName>
    <definedName name="NO_OF_REQ">[153]BQLIST!$F$1:$F$65536</definedName>
    <definedName name="Nocg">[47]basdat!#REF!</definedName>
    <definedName name="nomdia">#REF!</definedName>
    <definedName name="Nomg">[47]basdat!$D$15</definedName>
    <definedName name="nomshell">#REF!</definedName>
    <definedName name="non">#REF!</definedName>
    <definedName name="Nontaxable_Fringes">[70]Bidform!#REF!</definedName>
    <definedName name="NOO">'[146]SYSTEM 945 Air&amp;Nitrogen'!#REF!</definedName>
    <definedName name="NoPlan">"Texte 148"</definedName>
    <definedName name="NOSW" localSheetId="5" hidden="1">{"'Sheet1'!$A$4386:$N$4591"}</definedName>
    <definedName name="NOSW" hidden="1">{"'Sheet1'!$A$4386:$N$4591"}</definedName>
    <definedName name="notr">#REF!</definedName>
    <definedName name="nss" localSheetId="5" hidden="1">{#N/A,#N/A,FALSE,"consu_cover";#N/A,#N/A,FALSE,"consu_strategy";#N/A,#N/A,FALSE,"consu_flow";#N/A,#N/A,FALSE,"Summary_reqmt";#N/A,#N/A,FALSE,"field_ppg";#N/A,#N/A,FALSE,"ppg_shop";#N/A,#N/A,FALSE,"strl";#N/A,#N/A,FALSE,"tankages";#N/A,#N/A,FALSE,"gases"}</definedName>
    <definedName name="nss" hidden="1">{#N/A,#N/A,FALSE,"consu_cover";#N/A,#N/A,FALSE,"consu_strategy";#N/A,#N/A,FALSE,"consu_flow";#N/A,#N/A,FALSE,"Summary_reqmt";#N/A,#N/A,FALSE,"field_ppg";#N/A,#N/A,FALSE,"ppg_shop";#N/A,#N/A,FALSE,"strl";#N/A,#N/A,FALSE,"tankages";#N/A,#N/A,FALSE,"gases"}</definedName>
    <definedName name="NToS">[154]!NToS</definedName>
    <definedName name="NUA">#REF!</definedName>
    <definedName name="num">#REF!</definedName>
    <definedName name="NUM_EQUI">#REF!</definedName>
    <definedName name="NUMBER">#REF!</definedName>
    <definedName name="NUOVO">#REF!</definedName>
    <definedName name="Nvoid">'[58]288-1'!#REF!</definedName>
    <definedName name="Nx">#REF!</definedName>
    <definedName name="Nx___0">#REF!</definedName>
    <definedName name="Nx___13">#REF!</definedName>
    <definedName name="nxs">#REF!</definedName>
    <definedName name="Ny">#REF!</definedName>
    <definedName name="Ny___0">#REF!</definedName>
    <definedName name="Ny___13">#REF!</definedName>
    <definedName name="nys">#REF!</definedName>
    <definedName name="Nz">#REF!</definedName>
    <definedName name="O">#REF!</definedName>
    <definedName name="oAst1">#REF!</definedName>
    <definedName name="oAst2">#REF!</definedName>
    <definedName name="oAst3">#REF!</definedName>
    <definedName name="oAst4">#REF!</definedName>
    <definedName name="ob">#REF!</definedName>
    <definedName name="ocgl">#REF!</definedName>
    <definedName name="octf">#REF!</definedName>
    <definedName name="OD">#REF!</definedName>
    <definedName name="OD_1">#REF!</definedName>
    <definedName name="odaki">#REF!</definedName>
    <definedName name="ODH" hidden="1">#REF!</definedName>
    <definedName name="ODia" localSheetId="5">VLOOKUP(#REF!,[0]!__t1,2,FALSE)</definedName>
    <definedName name="ODia">VLOOKUP(#REF!,[0]!__t1,2,FALSE)</definedName>
    <definedName name="oexudl">#REF!</definedName>
    <definedName name="oii">#REF!</definedName>
    <definedName name="OIIII">'[139]B-W 22.0 (1-10)'!$B$52</definedName>
    <definedName name="oililui" localSheetId="5" hidden="1">{#N/A,#N/A,FALSE,"CCTV"}</definedName>
    <definedName name="oililui" hidden="1">{#N/A,#N/A,FALSE,"CCTV"}</definedName>
    <definedName name="oioo">#REF!</definedName>
    <definedName name="ok">#REF!</definedName>
    <definedName name="OL">#REF!</definedName>
    <definedName name="old_thk">#REF!</definedName>
    <definedName name="old_width">#REF!</definedName>
    <definedName name="omaxm1">#REF!</definedName>
    <definedName name="omaxm2">#REF!</definedName>
    <definedName name="omaxm3">#REF!</definedName>
    <definedName name="omaxm4">#REF!</definedName>
    <definedName name="omf">#REF!</definedName>
    <definedName name="omg">[59]Airy!$F$7</definedName>
    <definedName name="ONE">[120]valid_table!$H$1:$H$65536</definedName>
    <definedName name="OP">#REF!</definedName>
    <definedName name="OP_SYS">#REF!</definedName>
    <definedName name="operat">#REF!</definedName>
    <definedName name="OPERATING_TEMP.">#REF!</definedName>
    <definedName name="OPERATING_TEMP._1">#REF!</definedName>
    <definedName name="ophom">#REF!</definedName>
    <definedName name="opoi">#REF!</definedName>
    <definedName name="OPT">#REF!</definedName>
    <definedName name="OPTCODE">[131]CLASS!$B$1:$B$9</definedName>
    <definedName name="OPTD">#REF!</definedName>
    <definedName name="option9">'[155]PRICE BID'!#REF!</definedName>
    <definedName name="OptionButton20_Click">[45]!OptionButton20_Click</definedName>
    <definedName name="OptionButton21_Click">[45]!OptionButton21_Click</definedName>
    <definedName name="OptionButton23_Click">[45]!OptionButton23_Click</definedName>
    <definedName name="OptionButton24_Click">[45]!OptionButton24_Click</definedName>
    <definedName name="ORDERING">#REF!</definedName>
    <definedName name="OrderTable" hidden="1">#REF!</definedName>
    <definedName name="ORIG._DEPT.">#REF!</definedName>
    <definedName name="ORIG._DEPT._1">#REF!</definedName>
    <definedName name="Origins">#REF!</definedName>
    <definedName name="os" localSheetId="5" hidden="1">{#N/A,#N/A,FALSE,"TABLE"}</definedName>
    <definedName name="os" hidden="1">{#N/A,#N/A,FALSE,"TABLE"}</definedName>
    <definedName name="OT">#REF!</definedName>
    <definedName name="other_boq">[68]Config!$G$2:$G$5</definedName>
    <definedName name="OtherWork">'[87]DGchitiet '!#REF!</definedName>
    <definedName name="oudl">#REF!</definedName>
    <definedName name="outlet_diam_po_B">'[103]API 526(B)'!$A$25:$N$32</definedName>
    <definedName name="outlet_diam_po_C">'[103]API 526(C)'!$A$25:$N$32</definedName>
    <definedName name="outlet_diam_po_P">'[103]API 526(P)'!$A$40:$N$52</definedName>
    <definedName name="outlet_rating_po_B">'[103]API 526(B)'!$A$9:$N$16</definedName>
    <definedName name="outlet_rating_po_C">'[103]API 526(C)'!$A$9:$N$16</definedName>
    <definedName name="outlet_rating_po_P">'[103]API 526(P)'!$A$14:$N$26</definedName>
    <definedName name="overall_width">'[110]Abt Foundation '!$I$40</definedName>
    <definedName name="overhaul"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WNER">#REF!</definedName>
    <definedName name="P">#REF!</definedName>
    <definedName name="p___0">#REF!</definedName>
    <definedName name="p___13">#REF!</definedName>
    <definedName name="P_AREA">[55]Calendar!#REF!</definedName>
    <definedName name="p_flange">#REF!</definedName>
    <definedName name="P_ID_NO.">#REF!</definedName>
    <definedName name="P_ID_NO._1">#REF!</definedName>
    <definedName name="P_M">[156]REL!$W$172</definedName>
    <definedName name="P_mat">[57]stress!$A$2:$A$49</definedName>
    <definedName name="P_Name">#REF!</definedName>
    <definedName name="p_shape">#REF!</definedName>
    <definedName name="P_SYS">[55]Calendar!#REF!</definedName>
    <definedName name="P7b">#REF!</definedName>
    <definedName name="pa" localSheetId="5" hidden="1">{"Execavation",#N/A,FALSE,"furniture (employer)"}</definedName>
    <definedName name="pa" hidden="1">{"Execavation",#N/A,FALSE,"furniture (employer)"}</definedName>
    <definedName name="pa___0">#REF!</definedName>
    <definedName name="pa___13">#REF!</definedName>
    <definedName name="pab">#REF!</definedName>
    <definedName name="pag3_1" localSheetId="5">cerca_1</definedName>
    <definedName name="pag3_1">cerca_1</definedName>
    <definedName name="pag3_10" localSheetId="5">cerca_10</definedName>
    <definedName name="pag3_10">cerca_10</definedName>
    <definedName name="pag3_11" localSheetId="5">cerca_11</definedName>
    <definedName name="pag3_11">cerca_11</definedName>
    <definedName name="pag3_12" localSheetId="5">cerca_12</definedName>
    <definedName name="pag3_12">cerca_12</definedName>
    <definedName name="pag3_4" localSheetId="5">cerca_4</definedName>
    <definedName name="pag3_4">cerca_4</definedName>
    <definedName name="pag3_6" localSheetId="5">cerca_6</definedName>
    <definedName name="pag3_6">cerca_6</definedName>
    <definedName name="pag3_7" localSheetId="5">cerca_7</definedName>
    <definedName name="pag3_7">cerca_7</definedName>
    <definedName name="pag3_8" localSheetId="5">cerca_8</definedName>
    <definedName name="pag3_8">cerca_8</definedName>
    <definedName name="pag3_9" localSheetId="5">cerca_9</definedName>
    <definedName name="pag3_9">cerca_9</definedName>
    <definedName name="PAGE">"Texte 150"</definedName>
    <definedName name="page11">'[157]5'!#REF!</definedName>
    <definedName name="page12">'[157]5'!#REF!</definedName>
    <definedName name="PAGE5">#REF!</definedName>
    <definedName name="PAGE6">#REF!</definedName>
    <definedName name="PAGE7">#REF!</definedName>
    <definedName name="PAGEA">#REF!</definedName>
    <definedName name="PAGEC1">#REF!</definedName>
    <definedName name="PAGEC2">#REF!</definedName>
    <definedName name="PAGEC3">#REF!</definedName>
    <definedName name="pageCounter">#REF!</definedName>
    <definedName name="pageHeader">#REF!</definedName>
    <definedName name="pageHeader.control">#REF!</definedName>
    <definedName name="pageHeader.date">#REF!</definedName>
    <definedName name="pageHeader.description">#REF!</definedName>
    <definedName name="pageHeader.docGrp">#REF!</definedName>
    <definedName name="pageHeader.docNo">#REF!</definedName>
    <definedName name="pageHeader.height">#REF!</definedName>
    <definedName name="pageHeader.job">#REF!</definedName>
    <definedName name="pageHeader.name">#REF!</definedName>
    <definedName name="pageHeader.nameLabel">#REF!</definedName>
    <definedName name="pageHeader.pageCount">#REF!</definedName>
    <definedName name="pageHeader.pageNo">#REF!</definedName>
    <definedName name="pageHeader.revision">#REF!</definedName>
    <definedName name="pageHeader.text">#REF!</definedName>
    <definedName name="pageHeader.title">#REF!</definedName>
    <definedName name="pageHeader.user">#REF!</definedName>
    <definedName name="pageHeader.width">#REF!</definedName>
    <definedName name="PAGEL1">#REF!</definedName>
    <definedName name="PAGEL2">#REF!</definedName>
    <definedName name="PAGEL3">#REF!</definedName>
    <definedName name="PAGEL4">#REF!</definedName>
    <definedName name="PAGEL5">#REF!</definedName>
    <definedName name="PAGEL6">#REF!</definedName>
    <definedName name="PAGEL7">#REF!</definedName>
    <definedName name="PAGEL8">#REF!</definedName>
    <definedName name="PAGESC1">#REF!</definedName>
    <definedName name="PAGESC2">#REF!</definedName>
    <definedName name="PAGESL1">#REF!</definedName>
    <definedName name="pageTitle">#REF!</definedName>
    <definedName name="pageTitle.height">#REF!</definedName>
    <definedName name="pageTitle.text">#REF!</definedName>
    <definedName name="pageTitle.width">#REF!</definedName>
    <definedName name="PAINT_APP">#REF!</definedName>
    <definedName name="PAINT_COAT">#REF!</definedName>
    <definedName name="PAINT_MARK">#REF!</definedName>
    <definedName name="PAINT_MARK_APP.RANGE1">#REF!</definedName>
    <definedName name="PAINT_MARK_APP.RANGE2">#REF!</definedName>
    <definedName name="PAINT_MAT">#REF!</definedName>
    <definedName name="PAINT_PIP_APP.RANGE">#REF!</definedName>
    <definedName name="PAINT_STR_APP.RANGE">#REF!</definedName>
    <definedName name="PAINT_SUPPORT_APP.RANGE">#REF!</definedName>
    <definedName name="PAINT_SURF.PREP">#REF!</definedName>
    <definedName name="PAINT_SYSTEM.">#REF!</definedName>
    <definedName name="PAINT_SYSTEM._1">#REF!</definedName>
    <definedName name="painter1">'[158]Labour &amp; Plant'!$C$32</definedName>
    <definedName name="Painting">'[87]DGchitiet '!#REF!</definedName>
    <definedName name="Pane2">#REF!</definedName>
    <definedName name="Pane2___0">#REF!</definedName>
    <definedName name="Pane2___13">#REF!</definedName>
    <definedName name="pare" localSheetId="5" hidden="1">{"form-D1",#N/A,FALSE,"FORM-D1";"form-D1_amt",#N/A,FALSE,"FORM-D1"}</definedName>
    <definedName name="pare" hidden="1">{"form-D1",#N/A,FALSE,"FORM-D1";"form-D1_amt",#N/A,FALSE,"FORM-D1"}</definedName>
    <definedName name="parin">#REF!</definedName>
    <definedName name="PART_OF_PACKAGE">#REF!</definedName>
    <definedName name="PART_OF_PACKAGE_1">#REF!</definedName>
    <definedName name="pat">#REF!</definedName>
    <definedName name="pb">#REF!</definedName>
    <definedName name="pb___0">#REF!</definedName>
    <definedName name="pb___11">#REF!</definedName>
    <definedName name="pb___12">#REF!</definedName>
    <definedName name="pbb">#REF!</definedName>
    <definedName name="PBQ_ALL">#REF!</definedName>
    <definedName name="PBQ_I">#REF!</definedName>
    <definedName name="PBQ_O">#REF!</definedName>
    <definedName name="pbt">#REF!</definedName>
    <definedName name="Pbx">[49]Design!#REF!</definedName>
    <definedName name="Pby">[49]Design!#REF!</definedName>
    <definedName name="pc">#REF!</definedName>
    <definedName name="pc_1">[159]MTO!$E$87</definedName>
    <definedName name="PCC">#REF!</definedName>
    <definedName name="pccut">#REF!</definedName>
    <definedName name="pck">#REF!</definedName>
    <definedName name="PCT">#REF!</definedName>
    <definedName name="PCT_1">#REF!</definedName>
    <definedName name="PD">#REF!</definedName>
    <definedName name="ped_no">#REF!</definedName>
    <definedName name="ped5.1">#REF!</definedName>
    <definedName name="ped5.2">#REF!</definedName>
    <definedName name="PEFS">#REF!</definedName>
    <definedName name="PEFS_REV">#REF!</definedName>
    <definedName name="PEJM">#REF!</definedName>
    <definedName name="PER">'[88]?????-1'!#REF!</definedName>
    <definedName name="PERC">#REF!</definedName>
    <definedName name="PERIMETER">#REF!</definedName>
    <definedName name="Permissible_Axial_Stress_table_AISC">#REF!</definedName>
    <definedName name="pesize">#REF!</definedName>
    <definedName name="petro2" hidden="1">#REF!</definedName>
    <definedName name="PF">#REF!</definedName>
    <definedName name="pfd" localSheetId="5">cerca</definedName>
    <definedName name="pfd">cerca</definedName>
    <definedName name="pfd_1" localSheetId="5">cerca_1</definedName>
    <definedName name="pfd_1">cerca_1</definedName>
    <definedName name="pfd_10" localSheetId="5">cerca_10</definedName>
    <definedName name="pfd_10">cerca_10</definedName>
    <definedName name="pfd_11" localSheetId="5">cerca_11</definedName>
    <definedName name="pfd_11">cerca_11</definedName>
    <definedName name="pfd_12" localSheetId="5">cerca_12</definedName>
    <definedName name="pfd_12">cerca_12</definedName>
    <definedName name="pfd_4" localSheetId="5">cerca_4</definedName>
    <definedName name="pfd_4">cerca_4</definedName>
    <definedName name="pfd_6" localSheetId="5">cerca_6</definedName>
    <definedName name="pfd_6">cerca_6</definedName>
    <definedName name="pfd_7" localSheetId="5">cerca_7</definedName>
    <definedName name="pfd_7">cerca_7</definedName>
    <definedName name="pfd_8" localSheetId="5">cerca_8</definedName>
    <definedName name="pfd_8">cerca_8</definedName>
    <definedName name="pfd_9" localSheetId="5">cerca_9</definedName>
    <definedName name="pfd_9">cerca_9</definedName>
    <definedName name="pfd1_1" localSheetId="5">cerca_1</definedName>
    <definedName name="pfd1_1">cerca_1</definedName>
    <definedName name="pfd1_10" localSheetId="5">cerca_10</definedName>
    <definedName name="pfd1_10">cerca_10</definedName>
    <definedName name="pfd1_11" localSheetId="5">cerca_11</definedName>
    <definedName name="pfd1_11">cerca_11</definedName>
    <definedName name="pfd1_12" localSheetId="5">cerca_12</definedName>
    <definedName name="pfd1_12">cerca_12</definedName>
    <definedName name="pfd1_4" localSheetId="5">cerca_4</definedName>
    <definedName name="pfd1_4">cerca_4</definedName>
    <definedName name="pfd1_6" localSheetId="5">cerca_6</definedName>
    <definedName name="pfd1_6">cerca_6</definedName>
    <definedName name="pfd1_7" localSheetId="5">cerca_7</definedName>
    <definedName name="pfd1_7">cerca_7</definedName>
    <definedName name="pfd1_8" localSheetId="5">cerca_8</definedName>
    <definedName name="pfd1_8">cerca_8</definedName>
    <definedName name="pfd1_9" localSheetId="5">cerca_9</definedName>
    <definedName name="pfd1_9">cerca_9</definedName>
    <definedName name="pfr">#REF!</definedName>
    <definedName name="PG">'[40]INNER TANK'!$E$25</definedName>
    <definedName name="PGTR">#REF!</definedName>
    <definedName name="pH">#REF!</definedName>
    <definedName name="pH___0">#REF!</definedName>
    <definedName name="pH___13">#REF!</definedName>
    <definedName name="phi">#REF!</definedName>
    <definedName name="Phone">#REF!</definedName>
    <definedName name="Physical" hidden="1">'[30]P-Ins &amp; Bonds'!#REF!</definedName>
    <definedName name="pi">#REF!</definedName>
    <definedName name="PID">[160]Sheet1!$L$2:$L$105</definedName>
    <definedName name="PID_F">#REF!</definedName>
    <definedName name="pier_height">#REF!</definedName>
    <definedName name="pier_th_top">#REF!</definedName>
    <definedName name="pier_width_bottom">#REF!</definedName>
    <definedName name="pier_width_top">#REF!</definedName>
    <definedName name="piercap_width">#REF!</definedName>
    <definedName name="pile">#REF!</definedName>
    <definedName name="pile_no">#REF!</definedName>
    <definedName name="PILED">#REF!</definedName>
    <definedName name="piopppoop">'[128]3MLKQ'!$E$3</definedName>
    <definedName name="pipe_CPC">#REF!</definedName>
    <definedName name="pipe_CPC1">#REF!</definedName>
    <definedName name="PIPECLASS">#REF!</definedName>
    <definedName name="PipeInfo">#REF!</definedName>
    <definedName name="Piping2222">OR(ISBLANK(#REF!),ISBLANK(#REF!))</definedName>
    <definedName name="PIPINGCLASS_CHOICE">'[103]Cover Sheet'!$A$254</definedName>
    <definedName name="pl" localSheetId="5" hidden="1">{"PLANT BREAKUP",#N/A,FALSE,"E"}</definedName>
    <definedName name="pl" hidden="1">{"PLANT BREAKUP",#N/A,FALSE,"E"}</definedName>
    <definedName name="pl_unit_cost">#REF!</definedName>
    <definedName name="Plafond_TrancheA">#REF!</definedName>
    <definedName name="Plafond_TrancheB">#REF!</definedName>
    <definedName name="Plafond_TrancheC">#REF!</definedName>
    <definedName name="Plafond_trancheD">#REF!</definedName>
    <definedName name="plant_fac">#REF!</definedName>
    <definedName name="Plaster">'[87]DGchitiet '!#REF!</definedName>
    <definedName name="plbeams">#REF!</definedName>
    <definedName name="plcath">[106]Intro!$L$149</definedName>
    <definedName name="PLIGNE">#REF!</definedName>
    <definedName name="plx">#REF!</definedName>
    <definedName name="PM">[161]IBASE!$AH$16:$AV$110</definedName>
    <definedName name="PM_MotorGrader">'[140]Plant &amp;  Machinery'!$G$25</definedName>
    <definedName name="PM_Ratio">#REF!</definedName>
    <definedName name="PM_Tech">#REF!</definedName>
    <definedName name="PM_ThreeWheeled_80_100kN_StaticRoller">'[140]Plant &amp;  Machinery'!$G$34</definedName>
    <definedName name="PM_Tractor_Rotavator">'[140]Plant &amp;  Machinery'!$G$49</definedName>
    <definedName name="PM_WaterTanker_6kl">'[140]Plant &amp;  Machinery'!$G$53</definedName>
    <definedName name="pms">#REF!</definedName>
    <definedName name="pms_index">'[57]PMS INDEX'!$B$10:$I$59</definedName>
    <definedName name="pn">[156]REL!$W$172</definedName>
    <definedName name="pnInst">#REF!,#REF!</definedName>
    <definedName name="Pnm">[84]Contents!$A$5</definedName>
    <definedName name="Pno">[84]Contents!$A$4</definedName>
    <definedName name="po">#REF!</definedName>
    <definedName name="POIDS">#REF!</definedName>
    <definedName name="Poisson">[162]bASICDATA!$E$49</definedName>
    <definedName name="PONDICHERY" localSheetId="5" hidden="1">{"'Sheet1'!$A$4386:$N$4591"}</definedName>
    <definedName name="PONDICHERY" hidden="1">{"'Sheet1'!$A$4386:$N$4591"}</definedName>
    <definedName name="PONo">#REF!</definedName>
    <definedName name="power">#REF!,#REF!,#REF!,#REF!,#REF!,#REF!,#REF!,#REF!</definedName>
    <definedName name="PP">#REF!</definedName>
    <definedName name="PP_BLCK1">#REF!</definedName>
    <definedName name="PP_BLCK2">#REF!</definedName>
    <definedName name="PP_L01">#REF!</definedName>
    <definedName name="PPP" localSheetId="5" hidden="1">{#N/A,#N/A,FALSE,"CCTV"}</definedName>
    <definedName name="PPP" hidden="1">{#N/A,#N/A,FALSE,"CCTV"}</definedName>
    <definedName name="pqr">#REF!</definedName>
    <definedName name="Pr">#REF!</definedName>
    <definedName name="pressure">#REF!</definedName>
    <definedName name="price" localSheetId="5" hidden="1">{#N/A,#N/A,FALSE,"Sheet1";#N/A,#N/A,FALSE,"Sheet1";#N/A,#N/A,FALSE,"Sheet1";#N/A,#N/A,FALSE,"Sheet1"}</definedName>
    <definedName name="price" hidden="1">{#N/A,#N/A,FALSE,"Sheet1";#N/A,#N/A,FALSE,"Sheet1";#N/A,#N/A,FALSE,"Sheet1";#N/A,#N/A,FALSE,"Sheet1"}</definedName>
    <definedName name="Price_Unit_01">#REF!</definedName>
    <definedName name="Price_Unit_1">#REF!</definedName>
    <definedName name="PRINT">#REF!</definedName>
    <definedName name="_xlnm.Print_Area" localSheetId="5">#REF!</definedName>
    <definedName name="_xlnm.Print_Area" localSheetId="0">'QUALIFICATION INFORMATION'!$A$1:$P$93</definedName>
    <definedName name="_xlnm.Print_Area">#REF!</definedName>
    <definedName name="Print_Area_M">'[163]Q-7100-001'!$A$1:$Y$47</definedName>
    <definedName name="Print_Area_MI">#REF!</definedName>
    <definedName name="PRINT_AREA_MI___0">#REF!</definedName>
    <definedName name="Print_Area_MI_1">#REF!</definedName>
    <definedName name="Print_Area_MI1">#REF!</definedName>
    <definedName name="Print_Area1">#REF!</definedName>
    <definedName name="Print_Area2">#REF!</definedName>
    <definedName name="Print_Area4">#REF!</definedName>
    <definedName name="_xlnm.Print_Titles">#REF!</definedName>
    <definedName name="PRINT_TITLES_1">'[164]Steel Structure'!#REF!</definedName>
    <definedName name="PRINT_TITLES_2">'[164]Steel Structure'!#REF!</definedName>
    <definedName name="Print_Titles_MI">#REF!</definedName>
    <definedName name="Print_Titles_MI_1">#REF!</definedName>
    <definedName name="PRINTA">#REF!</definedName>
    <definedName name="PRINTB">#REF!</definedName>
    <definedName name="PRINTC">#REF!</definedName>
    <definedName name="PRJ_CODE">#REF!</definedName>
    <definedName name="PRJ_NAME">#REF!</definedName>
    <definedName name="prjName">#REF!</definedName>
    <definedName name="prjNo">#REF!</definedName>
    <definedName name="PRM">#REF!</definedName>
    <definedName name="PRM_1">#REF!</definedName>
    <definedName name="PRN_BQ_L">#REF!</definedName>
    <definedName name="PRN_BQ_L1">#REF!</definedName>
    <definedName name="PRN_DS_L">#REF!</definedName>
    <definedName name="PRNO">#REF!</definedName>
    <definedName name="PRNT01">#REF!</definedName>
    <definedName name="PRNT01A">#REF!</definedName>
    <definedName name="PRNT01B">#REF!</definedName>
    <definedName name="PROCESS_TYPE">[133]VALIDATION!$E$2:$E$33</definedName>
    <definedName name="ProcessSystem">#REF!</definedName>
    <definedName name="PROD_COLD">#REF!</definedName>
    <definedName name="PROD_HOT">#REF!</definedName>
    <definedName name="ProdForm" hidden="1">#REF!</definedName>
    <definedName name="PRODSTRING27" xml:space="preserve">  [165]Coversheet!$C$64</definedName>
    <definedName name="PRODSTRING3" xml:space="preserve">                                                                                            [165]Coversheet!$BC$66</definedName>
    <definedName name="PRODSTRING31">#REF!</definedName>
    <definedName name="PRODSTRING34">#REF!</definedName>
    <definedName name="PRODSTRING35">#REF!</definedName>
    <definedName name="PRODSTRING46">#REF!</definedName>
    <definedName name="PRODSTRING66">#REF!</definedName>
    <definedName name="PRODSTRING88" xml:space="preserve">                                                                                              [165]Coversheet!$J$66</definedName>
    <definedName name="Product" hidden="1">#REF!</definedName>
    <definedName name="PROFILES">[40]IPE!$A$5:$AI$176</definedName>
    <definedName name="proj">#REF!</definedName>
    <definedName name="PROJECT">#REF!</definedName>
    <definedName name="Project_Name">#REF!</definedName>
    <definedName name="Project_title">#REF!</definedName>
    <definedName name="project1">#REF!</definedName>
    <definedName name="Prop_Matl">#REF!</definedName>
    <definedName name="Prop_Matl_Rate">#REF!</definedName>
    <definedName name="Prop_MD">#REF!</definedName>
    <definedName name="Prop_MD_Rate">#REF!</definedName>
    <definedName name="Prop_Total_Matl">#REF!</definedName>
    <definedName name="Prop_Total_MD">#REF!</definedName>
    <definedName name="PROPOSAL">#REF!</definedName>
    <definedName name="Provisions" localSheetId="5" hidden="1">{#N/A,#N/A,FALSE,"JACKETS (1100 t) (1)"}</definedName>
    <definedName name="Provisions" hidden="1">{#N/A,#N/A,FALSE,"JACKETS (1100 t) (1)"}</definedName>
    <definedName name="PS">#REF!</definedName>
    <definedName name="PS___0">#REF!</definedName>
    <definedName name="PS___13">#REF!</definedName>
    <definedName name="PS_Factor">#REF!</definedName>
    <definedName name="psk">#REF!</definedName>
    <definedName name="psv">#REF!</definedName>
    <definedName name="PT_Duong">#REF!</definedName>
    <definedName name="ptdg">#REF!</definedName>
    <definedName name="PTDG_cau">#REF!</definedName>
    <definedName name="ptdg_cong">#REF!</definedName>
    <definedName name="ptdg_duong">#REF!</definedName>
    <definedName name="PUP">[121]horizontal!#REF!</definedName>
    <definedName name="Puz">[49]Design!#REF!</definedName>
    <definedName name="PVC600V3CORE">#REF!</definedName>
    <definedName name="PWHT">#REF!</definedName>
    <definedName name="px">#REF!</definedName>
    <definedName name="pz">#REF!</definedName>
    <definedName name="Q">[166]foundation!$F$116</definedName>
    <definedName name="Q2777x2c">#REF!</definedName>
    <definedName name="qa">#REF!</definedName>
    <definedName name="qap" localSheetId="5" hidden="1">{"'Typical Costs Estimates'!$C$158:$H$161"}</definedName>
    <definedName name="qap" localSheetId="1" hidden="1">{"'Typical Costs Estimates'!$C$158:$H$161"}</definedName>
    <definedName name="qap" hidden="1">{"'Typical Costs Estimates'!$C$158:$H$161"}</definedName>
    <definedName name="QAZ" localSheetId="5" hidden="1">{#N/A,#N/A,FALSE,"CCTV"}</definedName>
    <definedName name="QAZ" hidden="1">{#N/A,#N/A,FALSE,"CCTV"}</definedName>
    <definedName name="Qc">#REF!</definedName>
    <definedName name="Qc___0">#REF!</definedName>
    <definedName name="Qc___13">#REF!</definedName>
    <definedName name="QCP">#REF!</definedName>
    <definedName name="qd">#REF!</definedName>
    <definedName name="Qf">#REF!</definedName>
    <definedName name="Qf___0">#REF!</definedName>
    <definedName name="Qf___13">#REF!</definedName>
    <definedName name="Qi">#REF!</definedName>
    <definedName name="Qi___0">#REF!</definedName>
    <definedName name="Qi___13">#REF!</definedName>
    <definedName name="qiche" localSheetId="5" hidden="1">{"'照明目录'!$A$1:$H$31"}</definedName>
    <definedName name="qiche" hidden="1">{"'照明目录'!$A$1:$H$31"}</definedName>
    <definedName name="Ql">#REF!</definedName>
    <definedName name="Ql___0">#REF!</definedName>
    <definedName name="Ql___13">#REF!</definedName>
    <definedName name="qlda">[93]!qlda</definedName>
    <definedName name="Qm">#REF!</definedName>
    <definedName name="qnetlat">[121]horizontal!#REF!</definedName>
    <definedName name="qnetseis">[121]horizontal!#REF!</definedName>
    <definedName name="qo">#REF!</definedName>
    <definedName name="qq" localSheetId="5" hidden="1">{#N/A,#N/A,FALSE,"COVER1.XLS ";#N/A,#N/A,FALSE,"RACT1.XLS";#N/A,#N/A,FALSE,"RACT2.XLS";#N/A,#N/A,FALSE,"ECCMP";#N/A,#N/A,FALSE,"WELDER.XLS"}</definedName>
    <definedName name="qq" hidden="1">{#N/A,#N/A,FALSE,"COVER1.XLS ";#N/A,#N/A,FALSE,"RACT1.XLS";#N/A,#N/A,FALSE,"RACT2.XLS";#N/A,#N/A,FALSE,"ECCMP";#N/A,#N/A,FALSE,"WELDER.XLS"}</definedName>
    <definedName name="qqlotte">#REF!</definedName>
    <definedName name="qqlotte3">#REF!</definedName>
    <definedName name="qqlotte4">#REF!</definedName>
    <definedName name="qqlotte5">#REF!</definedName>
    <definedName name="qqlotte6">#REF!</definedName>
    <definedName name="qqlotte7">#REF!</definedName>
    <definedName name="qqlotte8">#REF!</definedName>
    <definedName name="qqlotte9">#REF!</definedName>
    <definedName name="QQQ">#REF!</definedName>
    <definedName name="qqqq" localSheetId="5" hidden="1">{"'照明目录'!$A$1:$H$31"}</definedName>
    <definedName name="qqqq" hidden="1">{"'照明目录'!$A$1:$H$31"}</definedName>
    <definedName name="qqqqqq">#REF!</definedName>
    <definedName name="QQQQQQQQQQQ">#REF!</definedName>
    <definedName name="QQW" localSheetId="5" hidden="1">{#N/A,#N/A,FALSE,"CCTV"}</definedName>
    <definedName name="QQW" hidden="1">{#N/A,#N/A,FALSE,"CCTV"}</definedName>
    <definedName name="qqzz">#REF!</definedName>
    <definedName name="qs">#REF!</definedName>
    <definedName name="Qsa">#REF!</definedName>
    <definedName name="Qspan">#REF!</definedName>
    <definedName name="qtdm">#REF!</definedName>
    <definedName name="Qty">#REF!</definedName>
    <definedName name="Qty_1">#REF!</definedName>
    <definedName name="QTY_ABS">#REF!,#REF!</definedName>
    <definedName name="Qty_as_on_apr">#REF!</definedName>
    <definedName name="Qty_Temp">#REF!</definedName>
    <definedName name="Qty_Unit_01">#REF!</definedName>
    <definedName name="qwe" localSheetId="5" hidden="1">{#N/A,#N/A,FALSE,"CCTV"}</definedName>
    <definedName name="qwe" hidden="1">{#N/A,#N/A,FALSE,"CCTV"}</definedName>
    <definedName name="qz">#REF!</definedName>
    <definedName name="R_">#REF!</definedName>
    <definedName name="R_r">[25]MTO!$O$103</definedName>
    <definedName name="RA">#REF!</definedName>
    <definedName name="racc_h">[25]MTO!$O$128</definedName>
    <definedName name="racc_v">[40]MTO!$O$127</definedName>
    <definedName name="Radiant_Bracket_Table">#REF!</definedName>
    <definedName name="radius">#REF!</definedName>
    <definedName name="Raj" localSheetId="5" hidden="1">{"'Sheet1'!$A$4386:$N$4591"}</definedName>
    <definedName name="Raj" localSheetId="1" hidden="1">{"'Sheet1'!$A$4386:$N$4591"}</definedName>
    <definedName name="Raj" hidden="1">{"'Sheet1'!$A$4386:$N$4591"}</definedName>
    <definedName name="raja">#REF!</definedName>
    <definedName name="rakesh">#REF!</definedName>
    <definedName name="range">[167]RANGE!$A$8:$B$28</definedName>
    <definedName name="RANGE2">'[24]SYSTEM 945 Air&amp;Nitrogen'!#REF!</definedName>
    <definedName name="rarewt" localSheetId="5" hidden="1">{#N/A,#N/A,FALSE,"CCTV"}</definedName>
    <definedName name="rarewt" hidden="1">{#N/A,#N/A,FALSE,"CCTV"}</definedName>
    <definedName name="Rate">#REF!</definedName>
    <definedName name="rate_mhr">#REF!</definedName>
    <definedName name="RATEST">#REF!</definedName>
    <definedName name="rating150">#REF!</definedName>
    <definedName name="rating300">#REF!</definedName>
    <definedName name="rating600">#REF!</definedName>
    <definedName name="rating800">#REF!</definedName>
    <definedName name="ravi" localSheetId="5" hidden="1">{#N/A,#N/A,TRUE,"Front";#N/A,#N/A,TRUE,"Simple Letter";#N/A,#N/A,TRUE,"Inside";#N/A,#N/A,TRUE,"Contents";#N/A,#N/A,TRUE,"Basis";#N/A,#N/A,TRUE,"Inclusions";#N/A,#N/A,TRUE,"Exclusions";#N/A,#N/A,TRUE,"Areas";#N/A,#N/A,TRUE,"Summary";#N/A,#N/A,TRUE,"Detail"}</definedName>
    <definedName name="ravi" hidden="1">{#N/A,#N/A,TRUE,"Front";#N/A,#N/A,TRUE,"Simple Letter";#N/A,#N/A,TRUE,"Inside";#N/A,#N/A,TRUE,"Contents";#N/A,#N/A,TRUE,"Basis";#N/A,#N/A,TRUE,"Inclusions";#N/A,#N/A,TRUE,"Exclusions";#N/A,#N/A,TRUE,"Areas";#N/A,#N/A,TRUE,"Summary";#N/A,#N/A,TRUE,"Detail"}</definedName>
    <definedName name="ray">[40]PERLITE!$B$39</definedName>
    <definedName name="Raytoit">[40]DATA_DRAWING!$J$7</definedName>
    <definedName name="RCArea" hidden="1">#REF!</definedName>
    <definedName name="Rcl">'[21]Risk Te. Co.'!$C$22</definedName>
    <definedName name="Rco">'[21]Risk Te. Co.'!$C$18</definedName>
    <definedName name="RCODE">#REF!</definedName>
    <definedName name="Rcon">[40]PERLITE!$B$73</definedName>
    <definedName name="Rcurt">[40]PERLITE!$E$43</definedName>
    <definedName name="rcwbgl">#REF!</definedName>
    <definedName name="rcwbgl2">#REF!</definedName>
    <definedName name="rd">#REF!</definedName>
    <definedName name="RD_1">#REF!</definedName>
    <definedName name="Rdeck">'[108]mem-property'!#REF!</definedName>
    <definedName name="RDN" localSheetId="5" hidden="1">{#N/A,#N/A,FALSE,"COVER.XLS";#N/A,#N/A,FALSE,"RACT1.XLS";#N/A,#N/A,FALSE,"RACT2.XLS";#N/A,#N/A,FALSE,"ECCMP";#N/A,#N/A,FALSE,"WELDER.XLS"}</definedName>
    <definedName name="RDN" hidden="1">{#N/A,#N/A,FALSE,"COVER.XLS";#N/A,#N/A,FALSE,"RACT1.XLS";#N/A,#N/A,FALSE,"RACT2.XLS";#N/A,#N/A,FALSE,"ECCMP";#N/A,#N/A,FALSE,"WELDER.XLS"}</definedName>
    <definedName name="rdrd">#REF!</definedName>
    <definedName name="rdrd_1">#REF!</definedName>
    <definedName name="Re">#REF!</definedName>
    <definedName name="Re___0">#REF!</definedName>
    <definedName name="Re___13">#REF!</definedName>
    <definedName name="re_bar">#REF!</definedName>
    <definedName name="Rebar_Qty._for_Bottom_L">#REF!</definedName>
    <definedName name="rebarallow">#REF!</definedName>
    <definedName name="_xlnm.Recorder">#REF!</definedName>
    <definedName name="RECOUT">#N/A</definedName>
    <definedName name="rect_4_415">#REF!</definedName>
    <definedName name="RED">#REF!</definedName>
    <definedName name="RED_RIVER_BRIDGE__THANH_TRI_BRIDGE__CONSTRUCTION_PROJECT">#REF!</definedName>
    <definedName name="REF_CLIENT1">"Texte 155"</definedName>
    <definedName name="REF_CLIENT2">"Texte 156"</definedName>
    <definedName name="REFAC">#REF!</definedName>
    <definedName name="RefWt">IF(ISNA(#REF!),0.02466*#REF!*(#REF!-#REF!)*#REF!,#REF!*#REF!)</definedName>
    <definedName name="rel">#REF!</definedName>
    <definedName name="REMARKS">#REF!</definedName>
    <definedName name="REMARKS_1">#REF!</definedName>
    <definedName name="REMK">#N/A</definedName>
    <definedName name="REO">#REF!</definedName>
    <definedName name="report2" localSheetId="5" hidden="1">{#N/A,#N/A,TRUE,"Front";#N/A,#N/A,TRUE,"Simple Letter";#N/A,#N/A,TRUE,"Inside";#N/A,#N/A,TRUE,"Contents";#N/A,#N/A,TRUE,"Basis";#N/A,#N/A,TRUE,"Inclusions";#N/A,#N/A,TRUE,"Exclusions";#N/A,#N/A,TRUE,"Areas";#N/A,#N/A,TRUE,"Summary";#N/A,#N/A,TRUE,"Detail"}</definedName>
    <definedName name="report2" hidden="1">{#N/A,#N/A,TRUE,"Front";#N/A,#N/A,TRUE,"Simple Letter";#N/A,#N/A,TRUE,"Inside";#N/A,#N/A,TRUE,"Contents";#N/A,#N/A,TRUE,"Basis";#N/A,#N/A,TRUE,"Inclusions";#N/A,#N/A,TRUE,"Exclusions";#N/A,#N/A,TRUE,"Areas";#N/A,#N/A,TRUE,"Summary";#N/A,#N/A,TRUE,"Detail"}</definedName>
    <definedName name="Req">#REF!</definedName>
    <definedName name="required" localSheetId="5" hidden="1">{"'照明目录'!$A$1:$H$31"}</definedName>
    <definedName name="required" hidden="1">{"'照明目录'!$A$1:$H$31"}</definedName>
    <definedName name="REQUISITION_NO.">#REF!</definedName>
    <definedName name="REQUISITION_NO._1">#REF!</definedName>
    <definedName name="res_sum" localSheetId="5" hidden="1">{#N/A,#N/A,FALSE,"COVER1.XLS ";#N/A,#N/A,FALSE,"RACT1.XLS";#N/A,#N/A,FALSE,"RACT2.XLS";#N/A,#N/A,FALSE,"ECCMP";#N/A,#N/A,FALSE,"WELDER.XLS"}</definedName>
    <definedName name="res_sum" hidden="1">{#N/A,#N/A,FALSE,"COVER1.XLS ";#N/A,#N/A,FALSE,"RACT1.XLS";#N/A,#N/A,FALSE,"RACT2.XLS";#N/A,#N/A,FALSE,"ECCMP";#N/A,#N/A,FALSE,"WELDER.XLS"}</definedName>
    <definedName name="RESOLUTION">'[29]PM Demolition '!RESOLUTION</definedName>
    <definedName name="REV">#REF!,#REF!</definedName>
    <definedName name="REV.">#REF!</definedName>
    <definedName name="REV3100BQ">#REF!</definedName>
    <definedName name="REV3110BQ">#REF!</definedName>
    <definedName name="REV3200BQ">#REF!</definedName>
    <definedName name="REV3300BQ">#REF!</definedName>
    <definedName name="REV3400BQ">#REF!</definedName>
    <definedName name="REV3500BQ">#REF!</definedName>
    <definedName name="REV3600BQ">#REF!</definedName>
    <definedName name="REV3700BQ">#REF!</definedName>
    <definedName name="REV3800BQ">#REF!</definedName>
    <definedName name="REVIS">#REF!</definedName>
    <definedName name="Revised_Price_EOT" localSheetId="5" hidden="1">{#N/A,#N/A,FALSE,"Sheet1";#N/A,#N/A,FALSE,"Sheet1";#N/A,#N/A,FALSE,"Sheet1";#N/A,#N/A,FALSE,"Sheet1"}</definedName>
    <definedName name="Revised_Price_EOT" hidden="1">{#N/A,#N/A,FALSE,"Sheet1";#N/A,#N/A,FALSE,"Sheet1";#N/A,#N/A,FALSE,"Sheet1";#N/A,#N/A,FALSE,"Sheet1"}</definedName>
    <definedName name="Revision">#REF!</definedName>
    <definedName name="Révision">#REF!</definedName>
    <definedName name="REVISION_1">#REF!</definedName>
    <definedName name="REVISIONE">#REF!</definedName>
    <definedName name="revLine">#REF!</definedName>
    <definedName name="revLine.approvedBy">#REF!</definedName>
    <definedName name="revLine.checkedBy">#REF!</definedName>
    <definedName name="revLine.date">#REF!</definedName>
    <definedName name="revLine.description">#REF!</definedName>
    <definedName name="revLine.height">#REF!</definedName>
    <definedName name="revLine.madeBy">#REF!</definedName>
    <definedName name="revLine.revision">#REF!</definedName>
    <definedName name="revLine.width">#REF!</definedName>
    <definedName name="revLineHeader">#REF!</definedName>
    <definedName name="revLineHeader.approvedBy">#REF!</definedName>
    <definedName name="revLineHeader.checkedBy">#REF!</definedName>
    <definedName name="revLineHeader.date">#REF!</definedName>
    <definedName name="revLineHeader.description">#REF!</definedName>
    <definedName name="revLineHeader.height">#REF!</definedName>
    <definedName name="revLineHeader.madeBy">#REF!</definedName>
    <definedName name="revLineHeader.revision">#REF!</definedName>
    <definedName name="revLineHeader.width">#REF!</definedName>
    <definedName name="RevNo">#REF!</definedName>
    <definedName name="Revnum">#REF!</definedName>
    <definedName name="reytu">#REF!</definedName>
    <definedName name="RF" localSheetId="5" hidden="1">{#N/A,#N/A,FALSE,"CCTV"}</definedName>
    <definedName name="RF" hidden="1">{#N/A,#N/A,FALSE,"CCTV"}</definedName>
    <definedName name="Rfi">'[21]Risk Te. Co.'!$C$26</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#REF!</definedName>
    <definedName name="RFP003B">#REF!</definedName>
    <definedName name="RFP003C">#REF!</definedName>
    <definedName name="RFP003D">#REF!</definedName>
    <definedName name="RFP003E">#REF!</definedName>
    <definedName name="RFP003E_BQITC1">#REF!</definedName>
    <definedName name="RFP003E_BQITC2">#REF!</definedName>
    <definedName name="RFP003E_BQITC3">#REF!</definedName>
    <definedName name="RFP003E_TOTAL">#REF!</definedName>
    <definedName name="RFP003E_UAMH">#REF!</definedName>
    <definedName name="RFP003E_UR_CON_FC">#REF!</definedName>
    <definedName name="RFP003E_UR_CON_LC">#REF!</definedName>
    <definedName name="RFP003E_UR_MAT_FC">#REF!</definedName>
    <definedName name="RFP003E_UR_MAT_LC">#REF!</definedName>
    <definedName name="RFP003F">#REF!</definedName>
    <definedName name="Rg">#REF!</definedName>
    <definedName name="rgs">#REF!</definedName>
    <definedName name="rho">#REF!</definedName>
    <definedName name="rI">[25]MTO!$O$116</definedName>
    <definedName name="RIC">[21]Closing!$D$53</definedName>
    <definedName name="RiE">[40]PERLITE!$H$55</definedName>
    <definedName name="rig">#REF!</definedName>
    <definedName name="rigid">#REF!</definedName>
    <definedName name="rigidpavement">#REF!</definedName>
    <definedName name="rigidpavement12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J">[25]MTO!$O$120</definedName>
    <definedName name="rkd" localSheetId="5" hidden="1">{#N/A,#N/A,FALSE,"CCTV"}</definedName>
    <definedName name="rkd" hidden="1">{#N/A,#N/A,FALSE,"CCTV"}</definedName>
    <definedName name="Rl">#REF!</definedName>
    <definedName name="Rl___0">#REF!</definedName>
    <definedName name="Rl___13">#REF!</definedName>
    <definedName name="RNIC">[21]Closing!$E$53</definedName>
    <definedName name="Rnoz">[40]PERLITE!$E$42</definedName>
    <definedName name="RO">#REF!</definedName>
    <definedName name="ROB">#REF!</definedName>
    <definedName name="robot">#REF!</definedName>
    <definedName name="RoofingWork">'[87]DGchitiet '!#REF!</definedName>
    <definedName name="Room_or_Area">#REF!</definedName>
    <definedName name="Rop">'[21]Risk Te. Co.'!$C$38</definedName>
    <definedName name="ror">#REF!</definedName>
    <definedName name="rose">#REF!</definedName>
    <definedName name="rosid">#REF!</definedName>
    <definedName name="rotLineThreeNumber">#REF!</definedName>
    <definedName name="rotLineThreeNumber.height">#REF!</definedName>
    <definedName name="rotLineThreeNumber.label">#REF!</definedName>
    <definedName name="rotLineThreeNumber.remark1">#REF!</definedName>
    <definedName name="rotLineThreeNumber.remark2">#REF!</definedName>
    <definedName name="rotLineThreeNumber.remark3">#REF!</definedName>
    <definedName name="rotLineThreeNumber.revision">#REF!</definedName>
    <definedName name="rotLineThreeNumber.uom">#REF!</definedName>
    <definedName name="rotLineThreeNumber.value1">#REF!</definedName>
    <definedName name="rotLineThreeNumber.value2">#REF!</definedName>
    <definedName name="rotLineThreeNumber.value3">#REF!</definedName>
    <definedName name="rotLineThreeNumber.width">#REF!</definedName>
    <definedName name="rotLineThreeNumberIndent">#REF!</definedName>
    <definedName name="rotLineThreeNumberIndent.height">#REF!</definedName>
    <definedName name="rotLineThreeNumberIndent.label1">#REF!</definedName>
    <definedName name="rotLineThreeNumberIndent.label2">#REF!</definedName>
    <definedName name="rotLineThreeNumberIndent.remark1">#REF!</definedName>
    <definedName name="rotLineThreeNumberIndent.remark2">#REF!</definedName>
    <definedName name="rotLineThreeNumberIndent.remark3">#REF!</definedName>
    <definedName name="rotLineThreeNumberIndent.revision">#REF!</definedName>
    <definedName name="rotLineThreeNumberIndent.uom">#REF!</definedName>
    <definedName name="rotLineThreeNumberIndent.value1">#REF!</definedName>
    <definedName name="rotLineThreeNumberIndent.value2">#REF!</definedName>
    <definedName name="rotLineThreeNumberIndent.value3">#REF!</definedName>
    <definedName name="rotLineThreeNumberIndent.width">#REF!</definedName>
    <definedName name="rotListHeader">#REF!</definedName>
    <definedName name="rotListHeader.height">#REF!</definedName>
    <definedName name="rotListHeader.name">#REF!</definedName>
    <definedName name="rotListHeader.value1">#REF!</definedName>
    <definedName name="rotListHeader.value2">#REF!</definedName>
    <definedName name="rotListHeader.value3">#REF!</definedName>
    <definedName name="rotListHeader.value4">#REF!</definedName>
    <definedName name="rotListHeader.width">#REF!</definedName>
    <definedName name="rotListLine">#REF!</definedName>
    <definedName name="rotListLine.height">#REF!</definedName>
    <definedName name="rotListLine.name">#REF!</definedName>
    <definedName name="rotListLine.remark1">#REF!</definedName>
    <definedName name="rotListLine.remark2">#REF!</definedName>
    <definedName name="rotListLine.remark3">#REF!</definedName>
    <definedName name="rotListLine.remark4">#REF!</definedName>
    <definedName name="rotListLine.revision">#REF!</definedName>
    <definedName name="rotListLine.value1">#REF!</definedName>
    <definedName name="rotListLine.value2">#REF!</definedName>
    <definedName name="rotListLine.value3">#REF!</definedName>
    <definedName name="rotListLine.value4">#REF!</definedName>
    <definedName name="rotListLine.width">#REF!</definedName>
    <definedName name="rout_t">#REF!</definedName>
    <definedName name="rr" localSheetId="5" hidden="1">{#N/A,#N/A,FALSE,"consu_cover";#N/A,#N/A,FALSE,"consu_strategy";#N/A,#N/A,FALSE,"consu_flow";#N/A,#N/A,FALSE,"Summary_reqmt";#N/A,#N/A,FALSE,"field_ppg";#N/A,#N/A,FALSE,"ppg_shop";#N/A,#N/A,FALSE,"strl";#N/A,#N/A,FALSE,"tankages";#N/A,#N/A,FALSE,"gases"}</definedName>
    <definedName name="rr" hidden="1">{#N/A,#N/A,FALSE,"consu_cover";#N/A,#N/A,FALSE,"consu_strategy";#N/A,#N/A,FALSE,"consu_flow";#N/A,#N/A,FALSE,"Summary_reqmt";#N/A,#N/A,FALSE,"field_ppg";#N/A,#N/A,FALSE,"ppg_shop";#N/A,#N/A,FALSE,"strl";#N/A,#N/A,FALSE,"tankages";#N/A,#N/A,FALSE,"gases"}</definedName>
    <definedName name="rrammv">#REF!</definedName>
    <definedName name="rrc">#REF!</definedName>
    <definedName name="Rs">#REF!</definedName>
    <definedName name="Rs.____________________Ex_our_works">#REF!</definedName>
    <definedName name="Rs___0">#REF!</definedName>
    <definedName name="Rs___13">#REF!</definedName>
    <definedName name="rsat">#REF!</definedName>
    <definedName name="Rse">#REF!</definedName>
    <definedName name="Rse___0">#REF!</definedName>
    <definedName name="Rse___13">#REF!</definedName>
    <definedName name="Rso">'[21]Risk Te. Co.'!$C$30</definedName>
    <definedName name="rt">#REF!</definedName>
    <definedName name="Rte">'[21]Risk Te. Co.'!$C$34</definedName>
    <definedName name="rtnht">#REF!</definedName>
    <definedName name="rtnlb">#REF!</definedName>
    <definedName name="rtnthk">#REF!</definedName>
    <definedName name="rtrytrey">#REF!</definedName>
    <definedName name="RTTRTRTR"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ty">#REF!</definedName>
    <definedName name="Ru">#REF!</definedName>
    <definedName name="rup">#REF!</definedName>
    <definedName name="rvk">#REF!</definedName>
    <definedName name="RW_MAT">#REF!</definedName>
    <definedName name="RW_PIPE">#REF!</definedName>
    <definedName name="rwere" localSheetId="5" hidden="1">{#N/A,#N/A,FALSE,"COVER1.XLS ";#N/A,#N/A,FALSE,"RACT1.XLS";#N/A,#N/A,FALSE,"RACT2.XLS";#N/A,#N/A,FALSE,"ECCMP";#N/A,#N/A,FALSE,"WELDER.XLS"}</definedName>
    <definedName name="rwere" hidden="1">{#N/A,#N/A,FALSE,"COVER1.XLS ";#N/A,#N/A,FALSE,"RACT1.XLS";#N/A,#N/A,FALSE,"RACT2.XLS";#N/A,#N/A,FALSE,"ECCMP";#N/A,#N/A,FALSE,"WELDER.XLS"}</definedName>
    <definedName name="Rx">#REF!</definedName>
    <definedName name="rxr">#REF!</definedName>
    <definedName name="rxx">#REF!</definedName>
    <definedName name="Rxy">'[108]mem-property'!#REF!</definedName>
    <definedName name="ry">#REF!</definedName>
    <definedName name="ry_1">#REF!</definedName>
    <definedName name="ry_10">#REF!</definedName>
    <definedName name="ry_11">#REF!</definedName>
    <definedName name="ry_12">#REF!</definedName>
    <definedName name="ry_4">#REF!</definedName>
    <definedName name="Ryx">'[108]mem-property'!#REF!</definedName>
    <definedName name="ryy">#REF!</definedName>
    <definedName name="Rz">#REF!</definedName>
    <definedName name="rzr">#REF!</definedName>
    <definedName name="S">#REF!</definedName>
    <definedName name="S.B.C">'[72]232V-010'!#REF!</definedName>
    <definedName name="S.S">#REF!</definedName>
    <definedName name="S_table">[57]stress!$A$1:$AB$49</definedName>
    <definedName name="S_TANK">#REF!</definedName>
    <definedName name="S_temp">[57]stress!$A$1:$AB$1</definedName>
    <definedName name="S0">#REF!</definedName>
    <definedName name="sa">[168]dummy!$A$2:$I$48</definedName>
    <definedName name="SADSA">#REF!</definedName>
    <definedName name="sagdhag" localSheetId="5" hidden="1">{#N/A,#N/A,FALSE,"COVER1.XLS ";#N/A,#N/A,FALSE,"RACT1.XLS";#N/A,#N/A,FALSE,"RACT2.XLS";#N/A,#N/A,FALSE,"ECCMP";#N/A,#N/A,FALSE,"WELDER.XLS"}</definedName>
    <definedName name="sagdhag" hidden="1">{#N/A,#N/A,FALSE,"COVER1.XLS ";#N/A,#N/A,FALSE,"RACT1.XLS";#N/A,#N/A,FALSE,"RACT2.XLS";#N/A,#N/A,FALSE,"ECCMP";#N/A,#N/A,FALSE,"WELDER.XLS"}</definedName>
    <definedName name="SALARY">#REF!</definedName>
    <definedName name="Sales">[70]Bidform!#REF!</definedName>
    <definedName name="SALLU">'[139]B-W 22.0 (1-10)'!$B$51</definedName>
    <definedName name="sand">[39]Analysis!$D$344</definedName>
    <definedName name="Sand_124">#REF!</definedName>
    <definedName name="sand124">[39]Analysis!$D$435</definedName>
    <definedName name="sanjay" localSheetId="5" hidden="1">{#N/A,#N/A,FALSE,"TABLE"}</definedName>
    <definedName name="sanjay" hidden="1">{#N/A,#N/A,FALSE,"TABLE"}</definedName>
    <definedName name="SAP.003.ALG298_CABLES.KFP_BLACK_BOX_ID">#REF!</definedName>
    <definedName name="SAP.003.ALG298_CABLES.KFP_BLACK_BOX_SYSTEM">#REF!</definedName>
    <definedName name="SAP.003.ALG298_CABLES.KFP_CABLE_REMARK">#REF!</definedName>
    <definedName name="SAP.003.ALG298_CABLES.KFP_CONTRACTOR_KEY">#REF!</definedName>
    <definedName name="SAP.003.ALG298_CABLES.KFP_DESCRIPTION">#REF!</definedName>
    <definedName name="SAP.003.ALG298_CABLES.KFP_DESCRIPTION_NATIVE_25">#REF!</definedName>
    <definedName name="SAP.003.ALG298_CABLES.KFP_DESTINATION_ID">#REF!</definedName>
    <definedName name="SAP.003.ALG298_CABLES.KFP_DESTINATION_LOC">#REF!</definedName>
    <definedName name="SAP.003.ALG298_CABLES.KFP_DESTINATION_ROOM">#REF!</definedName>
    <definedName name="SAP.003.ALG298_CABLES.KFP_DRAWING_NUMBER">#REF!</definedName>
    <definedName name="SAP.003.ALG298_CABLES.KFP_ENGINEERING_SZENARIO">#REF!</definedName>
    <definedName name="SAP.003.ALG298_CABLES.KFP_INPUT_ORIG_CABLE">#REF!</definedName>
    <definedName name="SAP.003.ALG298_CABLES.KFP_INTERMEDIATE_ID">#REF!</definedName>
    <definedName name="SAP.003.ALG298_CABLES.KFP_KKS">#REF!</definedName>
    <definedName name="SAP.003.ALG298_CABLES.KFP_LAY_DATE">#REF!</definedName>
    <definedName name="SAP.003.ALG298_CABLES.KFP_LAY_LENGTH">#REF!</definedName>
    <definedName name="SAP.003.ALG298_CABLES.KFP_LEVEL">#REF!</definedName>
    <definedName name="SAP.003.ALG298_CABLES.KFP_OPTION_1">#REF!</definedName>
    <definedName name="SAP.003.ALG298_CABLES.KFP_OPTION_2">#REF!</definedName>
    <definedName name="SAP.003.ALG298_CABLES.KFP_ORDERING_DEPARTMENT">#REF!</definedName>
    <definedName name="SAP.003.ALG298_CABLES.KFP_ORIGIN_ID">#REF!</definedName>
    <definedName name="SAP.003.ALG298_CABLES.KFP_ORIGIN_KEY">#REF!</definedName>
    <definedName name="SAP.003.ALG298_CABLES.KFP_ORIGIN_KEY_CABLES">#REF!</definedName>
    <definedName name="SAP.003.ALG298_CABLES.KFP_ORIGIN_LOC">#REF!</definedName>
    <definedName name="SAP.003.ALG298_CABLES.KFP_ORIGIN_ROOM">#REF!</definedName>
    <definedName name="SAP.003.ALG298_CABLES.KFP_PHASE_ASSIGN">#REF!</definedName>
    <definedName name="SAP.003.ALG298_CABLES.KFP_PLANNED_LENGTH">#REF!</definedName>
    <definedName name="SAP.003.ALG298_CABLES.KFP_PROKABEL_CHANGE">#REF!</definedName>
    <definedName name="SAP.003.ALG298_CABLES.KFP_ROUTED_LENGTH">#REF!</definedName>
    <definedName name="SAP.003.ALG298_CABLES.KFP_ROUTING_NUMBER">#REF!</definedName>
    <definedName name="SAP.003.ALG298_CABLES.KFP_SITE_CHANGE">#REF!</definedName>
    <definedName name="SAP.003.ALG298_CABLES.KFP_STATUS_INPUT_CABLES">#REF!</definedName>
    <definedName name="SAP.003.ALG298_CABLES.KFP_TOP">#REF!</definedName>
    <definedName name="SAP.003.ALG298_CABLES.KFP_TYPE_KEY">#REF!</definedName>
    <definedName name="SAP.003.ALG298_CABLES.KKS.KKS1">#REF!</definedName>
    <definedName name="SAP.003.ALG298_CABLES.KKS.KKS2">#REF!</definedName>
    <definedName name="SAP.003.ALG298_CABLES.KKS.KKS3">#REF!</definedName>
    <definedName name="SAP.003.ALG298_CABLES.KKS.Unit">#REF!</definedName>
    <definedName name="SAP.003.ALG298_DEVICES.KFP_AABBCC_CODE_MEASUREMENT">#REF!</definedName>
    <definedName name="SAP.003.ALG298_DEVICES.KFP_ADDRESS">#REF!</definedName>
    <definedName name="SAP.003.ALG298_DEVICES.KFP_AMBIENT_TEMPERATURE">#REF!</definedName>
    <definedName name="SAP.003.ALG298_DEVICES.KFP_AUTOMATION_SYSTEM">#REF!</definedName>
    <definedName name="SAP.003.ALG298_DEVICES.KFP_BLACK_BOX_ID">#REF!</definedName>
    <definedName name="SAP.003.ALG298_DEVICES.KFP_BLACK_BOX_SYSTEM">#REF!</definedName>
    <definedName name="SAP.003.ALG298_DEVICES.KFP_CABINET">#REF!</definedName>
    <definedName name="SAP.003.ALG298_DEVICES.KFP_DEGREE_OF_PROTECTION">#REF!</definedName>
    <definedName name="SAP.003.ALG298_DEVICES.KFP_DESCRIPTION">#REF!</definedName>
    <definedName name="SAP.003.ALG298_DEVICES.KFP_DESCRIPTION_NATIVE_25">#REF!</definedName>
    <definedName name="SAP.003.ALG298_DEVICES.KFP_DEVICE_DESIGN">#REF!</definedName>
    <definedName name="SAP.003.ALG298_DEVICES.KFP_DRAWING_NUMBER">#REF!</definedName>
    <definedName name="SAP.003.ALG298_DEVICES.KFP_ENGINEERING_SCOPE">#REF!</definedName>
    <definedName name="SAP.003.ALG298_DEVICES.KFP_ENGINEERING_SZENARIO">#REF!</definedName>
    <definedName name="SAP.003.ALG298_DEVICES.KFP_EQUIPMENT_CODE">#REF!</definedName>
    <definedName name="SAP.003.ALG298_DEVICES.KFP_FUNCTION_AREA">#REF!</definedName>
    <definedName name="SAP.003.ALG298_DEVICES.KFP_FUNCTION_GROUP_CODE">#REF!</definedName>
    <definedName name="SAP.003.ALG298_DEVICES.KFP_INPUT_ORIG_MEASUREMENT">#REF!</definedName>
    <definedName name="SAP.003.ALG298_DEVICES.KFP_KKS">#REF!</definedName>
    <definedName name="SAP.003.ALG298_DEVICES.KFP_LOCATION">#REF!</definedName>
    <definedName name="SAP.003.ALG298_DEVICES.KFP_LOCATION_AUTOMATION_SYSTEM">#REF!</definedName>
    <definedName name="SAP.003.ALG298_DEVICES.KFP_MANUFACTURER">#REF!</definedName>
    <definedName name="SAP.003.ALG298_DEVICES.KFP_MANUFACTURER_TYPE">#REF!</definedName>
    <definedName name="SAP.003.ALG298_DEVICES.KFP_MATERIAL_CONNECT_MEASURE">#REF!</definedName>
    <definedName name="SAP.003.ALG298_DEVICES.KFP_MAX_ALLOWED_WORK_PRESSURE">#REF!</definedName>
    <definedName name="SAP.003.ALG298_DEVICES.KFP_MAX_ALLOWED_WORK_TEMP">#REF!</definedName>
    <definedName name="SAP.003.ALG298_DEVICES.KFP_MEASURING_ACCURACY">#REF!</definedName>
    <definedName name="SAP.003.ALG298_DEVICES.KFP_MECHANICAL_ACCESSORIES">#REF!</definedName>
    <definedName name="SAP.003.ALG298_DEVICES.KFP_MECHANICAL_CONFIGURATION">#REF!</definedName>
    <definedName name="SAP.003.ALG298_DEVICES.KFP_MEDIUM">#REF!</definedName>
    <definedName name="SAP.003.ALG298_DEVICES.KFP_MIN_ALLOWED_WORK_PRESSURE">#REF!</definedName>
    <definedName name="SAP.003.ALG298_DEVICES.KFP_MSR_APPLICATION">#REF!</definedName>
    <definedName name="SAP.003.ALG298_DEVICES.KFP_MSR_CONFIGURATION">#REF!</definedName>
    <definedName name="SAP.003.ALG298_DEVICES.KFP_MSR_VARIANT">#REF!</definedName>
    <definedName name="SAP.003.ALG298_DEVICES.KFP_NOMINAL_DIAMETER">#REF!</definedName>
    <definedName name="SAP.003.ALG298_DEVICES.KFP_ORDERING_DEPARTMENT">#REF!</definedName>
    <definedName name="SAP.003.ALG298_DEVICES.KFP_ORIGIN_KEY">#REF!</definedName>
    <definedName name="SAP.003.ALG298_DEVICES.KFP_RANGE_BEGIN">#REF!</definedName>
    <definedName name="SAP.003.ALG298_DEVICES.KFP_RANGE_END">#REF!</definedName>
    <definedName name="SAP.003.ALG298_DEVICES.KFP_REMARK_MEASUREMENT">#REF!</definedName>
    <definedName name="SAP.003.ALG298_DEVICES.KFP_ROOM_AUTOMATION_SYSTEM">#REF!</definedName>
    <definedName name="SAP.003.ALG298_DEVICES.KFP_ROOM_CABINET">#REF!</definedName>
    <definedName name="SAP.003.ALG298_DEVICES.KFP_ROOM_NUMBER_MEASUREMENT">#REF!</definedName>
    <definedName name="SAP.003.ALG298_DEVICES.KFP_ROOM_TERMINATION_POINT">#REF!</definedName>
    <definedName name="SAP.003.ALG298_DEVICES.KFP_SPECIAL_REQUIREMENTS">#REF!</definedName>
    <definedName name="SAP.003.ALG298_DEVICES.KFP_STATUS_ENG_MEASUREMENT">#REF!</definedName>
    <definedName name="SAP.003.ALG298_DEVICES.KFP_STATUS_INPUT_MEASUREMENT">#REF!</definedName>
    <definedName name="SAP.003.ALG298_DEVICES.KFP_SUPPLIER">#REF!</definedName>
    <definedName name="SAP.003.ALG298_DEVICES.KFP_TECHNICAL_DRAWING_NUMBER">#REF!</definedName>
    <definedName name="SAP.003.ALG298_DEVICES.KFP_TERMINATION_POINT">#REF!</definedName>
    <definedName name="SAP.003.ALG298_DEVICES.KFP_TOP">#REF!</definedName>
    <definedName name="SAP.003.ALG298_DEVICES.KFP_UNIT">#REF!</definedName>
    <definedName name="SAP.003.ALG298_E_CONSUMERS.KFP_AABBCC_CODE_E_CONSUMERS">#REF!</definedName>
    <definedName name="SAP.003.ALG298_E_CONSUMERS.KFP_ADDRESS">#REF!</definedName>
    <definedName name="SAP.003.ALG298_E_CONSUMERS.KFP_AMBIENT_TEMPERATURE">#REF!</definedName>
    <definedName name="SAP.003.ALG298_E_CONSUMERS.KFP_AUTOMATION_SYSTEM">#REF!</definedName>
    <definedName name="SAP.003.ALG298_E_CONSUMERS.KFP_BIMETAL_FROM">#REF!</definedName>
    <definedName name="SAP.003.ALG298_E_CONSUMERS.KFP_BIMETAL_TO">#REF!</definedName>
    <definedName name="SAP.003.ALG298_E_CONSUMERS.KFP_BLACK_BOX_FEEDER_LOCATION">#REF!</definedName>
    <definedName name="SAP.003.ALG298_E_CONSUMERS.KFP_BLACK_BOX_ID">#REF!</definedName>
    <definedName name="SAP.003.ALG298_E_CONSUMERS.KFP_BLACK_BOX_SYSTEM">#REF!</definedName>
    <definedName name="SAP.003.ALG298_E_CONSUMERS.KFP_CABINET">#REF!</definedName>
    <definedName name="SAP.003.ALG298_E_CONSUMERS.KFP_DEGREE_OF_PROTECTION">#REF!</definedName>
    <definedName name="SAP.003.ALG298_E_CONSUMERS.KFP_DESCRIPTION">#REF!</definedName>
    <definedName name="SAP.003.ALG298_E_CONSUMERS.KFP_DESCRIPTION_NATIVE_25">#REF!</definedName>
    <definedName name="SAP.003.ALG298_E_CONSUMERS.KFP_DRAWING_NUMBER">#REF!</definedName>
    <definedName name="SAP.003.ALG298_E_CONSUMERS.KFP_ENGINEERING_SCOPE">#REF!</definedName>
    <definedName name="SAP.003.ALG298_E_CONSUMERS.KFP_ENGINEERING_SZENARIO">#REF!</definedName>
    <definedName name="SAP.003.ALG298_E_CONSUMERS.KFP_FEEDER_RATING">#REF!</definedName>
    <definedName name="SAP.003.ALG298_E_CONSUMERS.KFP_FUNCTION_AREA">#REF!</definedName>
    <definedName name="SAP.003.ALG298_E_CONSUMERS.KFP_FUNCTION_GROUP_CODE">#REF!</definedName>
    <definedName name="SAP.003.ALG298_E_CONSUMERS.KFP_HEAVY_DUTY_START">#REF!</definedName>
    <definedName name="SAP.003.ALG298_E_CONSUMERS.KFP_I_C_CONSUMER">#REF!</definedName>
    <definedName name="SAP.003.ALG298_E_CONSUMERS.KFP_INPUT_ORIG_E_CONSUMERS">#REF!</definedName>
    <definedName name="SAP.003.ALG298_E_CONSUMERS.KFP_KKS">#REF!</definedName>
    <definedName name="SAP.003.ALG298_E_CONSUMERS.KFP_LOCAL_CONTROL">#REF!</definedName>
    <definedName name="SAP.003.ALG298_E_CONSUMERS.KFP_LOCATION_AUTOMATION_SYSTEM">#REF!</definedName>
    <definedName name="SAP.003.ALG298_E_CONSUMERS.KFP_MSR_CONFIGURATION">#REF!</definedName>
    <definedName name="SAP.003.ALG298_E_CONSUMERS.KFP_MSR_VARIANT">#REF!</definedName>
    <definedName name="SAP.003.ALG298_E_CONSUMERS.KFP_ORDERING_DEPARTMENT">#REF!</definedName>
    <definedName name="SAP.003.ALG298_E_CONSUMERS.KFP_ORIGIN_KEY">#REF!</definedName>
    <definedName name="SAP.003.ALG298_E_CONSUMERS.KFP_POWER_SOURCE">#REF!</definedName>
    <definedName name="SAP.003.ALG298_E_CONSUMERS.KFP_RATED_CURRENT">#REF!</definedName>
    <definedName name="SAP.003.ALG298_E_CONSUMERS.KFP_RATED_POWER">#REF!</definedName>
    <definedName name="SAP.003.ALG298_E_CONSUMERS.KFP_RATED_VOLTAGE">#REF!</definedName>
    <definedName name="SAP.003.ALG298_E_CONSUMERS.KFP_REMARK_E_CONSUMERS">#REF!</definedName>
    <definedName name="SAP.003.ALG298_E_CONSUMERS.KFP_REQUIRED_POWER">#REF!</definedName>
    <definedName name="SAP.003.ALG298_E_CONSUMERS.KFP_ROOM_AUTOMATION_SYSTEM">#REF!</definedName>
    <definedName name="SAP.003.ALG298_E_CONSUMERS.KFP_ROOM_CABINET">#REF!</definedName>
    <definedName name="SAP.003.ALG298_E_CONSUMERS.KFP_ROOM_NUMBER_E_CONSUMERS">#REF!</definedName>
    <definedName name="SAP.003.ALG298_E_CONSUMERS.KFP_ROOM_NUMBER_SWITCHGEAR">#REF!</definedName>
    <definedName name="SAP.003.ALG298_E_CONSUMERS.KFP_ROOM_TERMINATION_POINT">#REF!</definedName>
    <definedName name="SAP.003.ALG298_E_CONSUMERS.KFP_RUNNING_TIME">#REF!</definedName>
    <definedName name="SAP.003.ALG298_E_CONSUMERS.KFP_SCAN_TIME_E_CONSUMERS">#REF!</definedName>
    <definedName name="SAP.003.ALG298_E_CONSUMERS.KFP_SIMULTAN_FACTOR">#REF!</definedName>
    <definedName name="SAP.003.ALG298_E_CONSUMERS.KFP_SPECIAL_REQUIREMENTS">#REF!</definedName>
    <definedName name="SAP.003.ALG298_E_CONSUMERS.KFP_STANDARD">#REF!</definedName>
    <definedName name="SAP.003.ALG298_E_CONSUMERS.KFP_START_UP_FACTOR">#REF!</definedName>
    <definedName name="SAP.003.ALG298_E_CONSUMERS.KFP_STATUS_ENG_E_CONSUMERS">#REF!</definedName>
    <definedName name="SAP.003.ALG298_E_CONSUMERS.KFP_STATUS_INPUT_E_CONSUMERS">#REF!</definedName>
    <definedName name="SAP.003.ALG298_E_CONSUMERS.KFP_SWITCHGEAR_FEEDER_LOCATION">#REF!</definedName>
    <definedName name="SAP.003.ALG298_E_CONSUMERS.KFP_TERMINATION_POINT">#REF!</definedName>
    <definedName name="SAP.003.ALG298_E_CONSUMERS.KFP_TOP">#REF!</definedName>
    <definedName name="SAP.003.ALG298_E_CONSUMERS.KFP_TYPE_OF_DRIVE">#REF!</definedName>
    <definedName name="SAP.003.ALG298_E_CONSUMERS.KFP_TYPE_OF_FEEDER">#REF!</definedName>
    <definedName name="SAP.003.ALG298_E_CONSUMERS.KFP_TYPE_OF_SWITCH">#REF!</definedName>
    <definedName name="SAP.003.ALG298_E_CONSUMERS.KFP_TYPE_OF_VOLTAGE">#REF!</definedName>
    <definedName name="SAP.003.ALG298_E_CONSUMERS.KKS.KKS1">#REF!</definedName>
    <definedName name="SAP.003.ALG298_E_CONSUMERS.KKS.KKS2">#REF!</definedName>
    <definedName name="SAP.003.ALG298_E_CONSUMERS.KKS.KKS3">#REF!</definedName>
    <definedName name="SAP.003.ALG298_E_CONSUMERS.KKS.Unit">#REF!</definedName>
    <definedName name="SAP.003.ALG298_MEASUREMENT.KFP_AABBCC_CODE_MEASUREMENT">#REF!</definedName>
    <definedName name="SAP.003.ALG298_MEASUREMENT.KFP_ADDRESS">#REF!</definedName>
    <definedName name="SAP.003.ALG298_MEASUREMENT.KFP_AMBIENT_TEMPERATURE">#REF!</definedName>
    <definedName name="SAP.003.ALG298_MEASUREMENT.KFP_AUTOMATION_SYSTEM">#REF!</definedName>
    <definedName name="SAP.003.ALG298_MEASUREMENT.KFP_BLACK_BOX_ID">#REF!</definedName>
    <definedName name="SAP.003.ALG298_MEASUREMENT.KFP_BLACK_BOX_SYSTEM">#REF!</definedName>
    <definedName name="SAP.003.ALG298_MEASUREMENT.KFP_CABINET">#REF!</definedName>
    <definedName name="SAP.003.ALG298_MEASUREMENT.KFP_DESCRIPTION">#REF!</definedName>
    <definedName name="SAP.003.ALG298_MEASUREMENT.KFP_DESCRIPTION_NATIVE_25">#REF!</definedName>
    <definedName name="SAP.003.ALG298_MEASUREMENT.KFP_DRAWING_NUMBER">#REF!</definedName>
    <definedName name="SAP.003.ALG298_MEASUREMENT.KFP_ENGINEERING_SCOPE">#REF!</definedName>
    <definedName name="SAP.003.ALG298_MEASUREMENT.KFP_ENGINEERING_SZENARIO">#REF!</definedName>
    <definedName name="SAP.003.ALG298_MEASUREMENT.KFP_FUNCTION_AREA">#REF!</definedName>
    <definedName name="SAP.003.ALG298_MEASUREMENT.KFP_FUNCTION_GROUP_CODE">#REF!</definedName>
    <definedName name="SAP.003.ALG298_MEASUREMENT.KFP_INPUT_ORIG_MEASUREMENT">#REF!</definedName>
    <definedName name="SAP.003.ALG298_MEASUREMENT.KFP_KKS">#REF!</definedName>
    <definedName name="SAP.003.ALG298_MEASUREMENT.KFP_LOCATION_AUTOMATION_SYSTEM">#REF!</definedName>
    <definedName name="SAP.003.ALG298_MEASUREMENT.KFP_MATERIAL_CONNECT_MEASURE">#REF!</definedName>
    <definedName name="SAP.003.ALG298_MEASUREMENT.KFP_MAX_ALLOWED_WORK_PRESSURE">#REF!</definedName>
    <definedName name="SAP.003.ALG298_MEASUREMENT.KFP_MAX_ALLOWED_WORK_TEMP">#REF!</definedName>
    <definedName name="SAP.003.ALG298_MEASUREMENT.KFP_MECHANICAL_ACCESSORIES">#REF!</definedName>
    <definedName name="SAP.003.ALG298_MEASUREMENT.KFP_MECHANICAL_CONFIGURATION">#REF!</definedName>
    <definedName name="SAP.003.ALG298_MEASUREMENT.KFP_MEDIUM">#REF!</definedName>
    <definedName name="SAP.003.ALG298_MEASUREMENT.KFP_MIN_ALLOWED_WORK_PRESSURE">#REF!</definedName>
    <definedName name="SAP.003.ALG298_MEASUREMENT.KFP_MSR_APPLICATION">#REF!</definedName>
    <definedName name="SAP.003.ALG298_MEASUREMENT.KFP_MSR_CONFIGURATION">#REF!</definedName>
    <definedName name="SAP.003.ALG298_MEASUREMENT.KFP_MSR_VARIANT">#REF!</definedName>
    <definedName name="SAP.003.ALG298_MEASUREMENT.KFP_NOMINAL_DIAMETER">#REF!</definedName>
    <definedName name="SAP.003.ALG298_MEASUREMENT.KFP_ORDERING_DEPARTMENT">#REF!</definedName>
    <definedName name="SAP.003.ALG298_MEASUREMENT.KFP_ORIGIN_KEY">#REF!</definedName>
    <definedName name="SAP.003.ALG298_MEASUREMENT.KFP_RANGE_BEGIN">#REF!</definedName>
    <definedName name="SAP.003.ALG298_MEASUREMENT.KFP_RANGE_END">#REF!</definedName>
    <definedName name="SAP.003.ALG298_MEASUREMENT.KFP_REMARK_MEASUREMENT">#REF!</definedName>
    <definedName name="SAP.003.ALG298_MEASUREMENT.KFP_ROOM_AUTOMATION_SYSTEM">#REF!</definedName>
    <definedName name="SAP.003.ALG298_MEASUREMENT.KFP_ROOM_CABINET">#REF!</definedName>
    <definedName name="SAP.003.ALG298_MEASUREMENT.KFP_ROOM_NUMBER_MEASUREMENT">#REF!</definedName>
    <definedName name="SAP.003.ALG298_MEASUREMENT.KFP_ROOM_TERMINATION_POINT">#REF!</definedName>
    <definedName name="SAP.003.ALG298_MEASUREMENT.KFP_SPECIAL_REQUIREMENTS">#REF!</definedName>
    <definedName name="SAP.003.ALG298_MEASUREMENT.KFP_STATUS_ENG_MEASUREMENT">#REF!</definedName>
    <definedName name="SAP.003.ALG298_MEASUREMENT.KFP_STATUS_INPUT_MEASUREMENT">#REF!</definedName>
    <definedName name="SAP.003.ALG298_MEASUREMENT.KFP_TERMINATION_POINT">#REF!</definedName>
    <definedName name="SAP.003.ALG298_MEASUREMENT.KFP_TOP">#REF!</definedName>
    <definedName name="SAP.003.ALG298_MEASUREMENT.KFP_UNIT">#REF!</definedName>
    <definedName name="SAP.003.ALG298_MEASUREMENT.KKS.KKS1">#REF!</definedName>
    <definedName name="SAP.003.ALG298_MEASUREMENT.KKS.KKS2">#REF!</definedName>
    <definedName name="SAP.003.ALG298_MEASUREMENT.KKS.KKS3">#REF!</definedName>
    <definedName name="SAP.003.ALG298_MEASUREMENT.KKS.Unit">#REF!</definedName>
    <definedName name="SAP.003.ALG298_SIGNALS.KFP_AABBCC_CODE_MEASUREMENT">#REF!</definedName>
    <definedName name="SAP.003.ALG298_SIGNALS.KFP_ADDRESS">#REF!</definedName>
    <definedName name="SAP.003.ALG298_SIGNALS.KFP_AMBIENT_TEMPERATURE">#REF!</definedName>
    <definedName name="SAP.003.ALG298_SIGNALS.KFP_APPLICATION_RANGE">#REF!</definedName>
    <definedName name="SAP.003.ALG298_SIGNALS.KFP_AUTOMATION_SYSTEM">#REF!</definedName>
    <definedName name="SAP.003.ALG298_SIGNALS.KFP_BLACK_BOX_ID">#REF!</definedName>
    <definedName name="SAP.003.ALG298_SIGNALS.KFP_BLACK_BOX_SYSTEM">#REF!</definedName>
    <definedName name="SAP.003.ALG298_SIGNALS.KFP_CABINET">#REF!</definedName>
    <definedName name="SAP.003.ALG298_SIGNALS.KFP_CMI_OPTION">#REF!</definedName>
    <definedName name="SAP.003.ALG298_SIGNALS.KFP_CMI_TYPICAL">#REF!</definedName>
    <definedName name="SAP.003.ALG298_SIGNALS.KFP_DESCRIPTION">#REF!</definedName>
    <definedName name="SAP.003.ALG298_SIGNALS.KFP_DESCRIPTION_NATIVE_25">#REF!</definedName>
    <definedName name="SAP.003.ALG298_SIGNALS.KFP_DRAWING_NUMBER">#REF!</definedName>
    <definedName name="SAP.003.ALG298_SIGNALS.KFP_ENGINEERING_SCOPE">#REF!</definedName>
    <definedName name="SAP.003.ALG298_SIGNALS.KFP_ENGINEERING_SZENARIO">#REF!</definedName>
    <definedName name="SAP.003.ALG298_SIGNALS.KFP_FUNCTION_AREA">#REF!</definedName>
    <definedName name="SAP.003.ALG298_SIGNALS.KFP_FUNCTION_GROUP_CODE">#REF!</definedName>
    <definedName name="SAP.003.ALG298_SIGNALS.KFP_INPUT_ORIG_MEASUREMENT">#REF!</definedName>
    <definedName name="SAP.003.ALG298_SIGNALS.KFP_KKS">#REF!</definedName>
    <definedName name="SAP.003.ALG298_SIGNALS.KFP_LOCATION_AUTOMATION_SYSTEM">#REF!</definedName>
    <definedName name="SAP.003.ALG298_SIGNALS.KFP_MATERIAL_CONNECT_MEASURE">#REF!</definedName>
    <definedName name="SAP.003.ALG298_SIGNALS.KFP_MAX_ALLOWED_WORK_PRESSURE">#REF!</definedName>
    <definedName name="SAP.003.ALG298_SIGNALS.KFP_MAX_ALLOWED_WORK_TEMP">#REF!</definedName>
    <definedName name="SAP.003.ALG298_SIGNALS.KFP_MECHANICAL_ACCESSORIES">#REF!</definedName>
    <definedName name="SAP.003.ALG298_SIGNALS.KFP_MECHANICAL_CONFIGURATION">#REF!</definedName>
    <definedName name="SAP.003.ALG298_SIGNALS.KFP_MEDIUM">#REF!</definedName>
    <definedName name="SAP.003.ALG298_SIGNALS.KFP_MIN_ALLOWED_WORK_PRESSURE">#REF!</definedName>
    <definedName name="SAP.003.ALG298_SIGNALS.KFP_MSR_APPLICATION">#REF!</definedName>
    <definedName name="SAP.003.ALG298_SIGNALS.KFP_MSR_CONFIGURATION">#REF!</definedName>
    <definedName name="SAP.003.ALG298_SIGNALS.KFP_MSR_VARIANT">#REF!</definedName>
    <definedName name="SAP.003.ALG298_SIGNALS.KFP_NOMINAL_DIAMETER">#REF!</definedName>
    <definedName name="SAP.003.ALG298_SIGNALS.KFP_ORDERING_DEPARTMENT">#REF!</definedName>
    <definedName name="SAP.003.ALG298_SIGNALS.KFP_ORIGIN_KEY">#REF!</definedName>
    <definedName name="SAP.003.ALG298_SIGNALS.KFP_RANGE_BEGIN">#REF!</definedName>
    <definedName name="SAP.003.ALG298_SIGNALS.KFP_RANGE_END">#REF!</definedName>
    <definedName name="SAP.003.ALG298_SIGNALS.KFP_REMARK_MEASUREMENT">#REF!</definedName>
    <definedName name="SAP.003.ALG298_SIGNALS.KFP_REMARK_SIGNALS">#REF!</definedName>
    <definedName name="SAP.003.ALG298_SIGNALS.KFP_ROOM_AUTOMATION_SYSTEM">#REF!</definedName>
    <definedName name="SAP.003.ALG298_SIGNALS.KFP_ROOM_CABINET">#REF!</definedName>
    <definedName name="SAP.003.ALG298_SIGNALS.KFP_ROOM_NUMBER_MEASUREMENT">#REF!</definedName>
    <definedName name="SAP.003.ALG298_SIGNALS.KFP_ROOM_TERMINATION_POINT">#REF!</definedName>
    <definedName name="SAP.003.ALG298_SIGNALS.KFP_SCAN_TIME_MEASUREMENT">#REF!</definedName>
    <definedName name="SAP.003.ALG298_SIGNALS.KFP_SETTINGS">#REF!</definedName>
    <definedName name="SAP.003.ALG298_SIGNALS.KFP_SETTINGS_NATIVE">#REF!</definedName>
    <definedName name="SAP.003.ALG298_SIGNALS.KFP_SIGNAL_IC">#REF!</definedName>
    <definedName name="SAP.003.ALG298_SIGNALS.KFP_SIGNALLEVEL">#REF!</definedName>
    <definedName name="SAP.003.ALG298_SIGNALS.KFP_SPECIAL_REQUIREMENTS">#REF!</definedName>
    <definedName name="SAP.003.ALG298_SIGNALS.KFP_STATUS_ENG_MEASUREMENT">#REF!</definedName>
    <definedName name="SAP.003.ALG298_SIGNALS.KFP_STATUS_INPUT_MEASUREMENT">#REF!</definedName>
    <definedName name="SAP.003.ALG298_SIGNALS.KFP_TERMINATION_POINT">#REF!</definedName>
    <definedName name="SAP.003.ALG298_SIGNALS.KFP_TOP">#REF!</definedName>
    <definedName name="SAP.003.ALG298_SIGNALS.KFP_UNIT">#REF!</definedName>
    <definedName name="SAREA">#REF!</definedName>
    <definedName name="SAREA_">#REF!</definedName>
    <definedName name="sarkna">#REF!</definedName>
    <definedName name="sasa">#REF!</definedName>
    <definedName name="sastry">#REF!</definedName>
    <definedName name="satu">#REF!</definedName>
    <definedName name="sau">'[13]Chiet tinh dz35'!$H$4</definedName>
    <definedName name="SB">[161]IBASE!$AH$7:$AL$14</definedName>
    <definedName name="SB5__SB6">[169]terbs!#REF!</definedName>
    <definedName name="SC">'[102]Default Values'!$E$19</definedName>
    <definedName name="SC_1">#REF!</definedName>
    <definedName name="scale">#REF!</definedName>
    <definedName name="scc">'[77]óc-sepVdec99'!$A$1:$AC$29</definedName>
    <definedName name="scc_1">#REF!</definedName>
    <definedName name="Sch">'[170]ASME B 36.10 M'!$D$3:$W$4</definedName>
    <definedName name="SCH_CON">#REF!</definedName>
    <definedName name="SCH_DIRSTAF">#REF!</definedName>
    <definedName name="SCH_INDIESTAF">#REF!</definedName>
    <definedName name="SCH_PM">#REF!</definedName>
    <definedName name="SCH_TABLE">#REF!</definedName>
    <definedName name="SCHED">[103]SCHEDULES!$A$12:$A$119</definedName>
    <definedName name="SCHEDULE">[103]SCHEDULES!$A$12:$BZ$119</definedName>
    <definedName name="schools">#REF!</definedName>
    <definedName name="SCK">#REF!</definedName>
    <definedName name="SCODE">#REF!</definedName>
    <definedName name="SCODE1">#REF!</definedName>
    <definedName name="SCODE2">[82]SCODE!$A$1:$A$51</definedName>
    <definedName name="SCOPE">#REF!</definedName>
    <definedName name="sd">#REF!</definedName>
    <definedName name="sdaad">#REF!</definedName>
    <definedName name="sdadsa">#REF!</definedName>
    <definedName name="Sdate">#REF!</definedName>
    <definedName name="sdd" localSheetId="5" hidden="1">{#N/A,#N/A,TRUE,"Front";#N/A,#N/A,TRUE,"Simple Letter";#N/A,#N/A,TRUE,"Inside";#N/A,#N/A,TRUE,"Contents";#N/A,#N/A,TRUE,"Basis";#N/A,#N/A,TRUE,"Inclusions";#N/A,#N/A,TRUE,"Exclusions";#N/A,#N/A,TRUE,"Areas";#N/A,#N/A,TRUE,"Summary";#N/A,#N/A,TRUE,"Detail"}</definedName>
    <definedName name="sdd" hidden="1">{#N/A,#N/A,TRUE,"Front";#N/A,#N/A,TRUE,"Simple Letter";#N/A,#N/A,TRUE,"Inside";#N/A,#N/A,TRUE,"Contents";#N/A,#N/A,TRUE,"Basis";#N/A,#N/A,TRUE,"Inclusions";#N/A,#N/A,TRUE,"Exclusions";#N/A,#N/A,TRUE,"Areas";#N/A,#N/A,TRUE,"Summary";#N/A,#N/A,TRUE,"Detail"}</definedName>
    <definedName name="SDDL">[76]QMCT!#REF!</definedName>
    <definedName name="sdf">#REF!</definedName>
    <definedName name="sdfdsfsx" localSheetId="5" hidden="1">{#N/A,#N/A,FALSE,"CCTV"}</definedName>
    <definedName name="sdfdsfsx" hidden="1">{#N/A,#N/A,FALSE,"CCTV"}</definedName>
    <definedName name="sdfsdf">#REF!</definedName>
    <definedName name="sdfsdgfsd">#REF!</definedName>
    <definedName name="sdg">[104]references!$H$2:$H$8</definedName>
    <definedName name="sdssdsd">#REF!</definedName>
    <definedName name="se">#REF!</definedName>
    <definedName name="SECTAB">#REF!:#REF!</definedName>
    <definedName name="sectionHeader">#REF!</definedName>
    <definedName name="sectionHeader.height">#REF!</definedName>
    <definedName name="sectionHeader.text">#REF!</definedName>
    <definedName name="sectionHeader.width">#REF!</definedName>
    <definedName name="sectionHeaderHalf">#REF!</definedName>
    <definedName name="sectionHeaderHalf.height">#REF!</definedName>
    <definedName name="sectionHeaderHalf.text">#REF!</definedName>
    <definedName name="sectionHeaderHalf.width">#REF!</definedName>
    <definedName name="sectionHeaderHalfLow">#REF!</definedName>
    <definedName name="sectionHeaderHalfLow.height">#REF!</definedName>
    <definedName name="sectionHeaderHalfLow.text">#REF!</definedName>
    <definedName name="sectionHeaderHalfLow.width">#REF!</definedName>
    <definedName name="sectionHeaderLow">#REF!</definedName>
    <definedName name="sectionHeaderLow.height">#REF!</definedName>
    <definedName name="sectionHeaderLow.text">#REF!</definedName>
    <definedName name="sectionHeaderLow.width">#REF!</definedName>
    <definedName name="sectionused">#REF!</definedName>
    <definedName name="see">#REF!</definedName>
    <definedName name="SEG">#REF!</definedName>
    <definedName name="Select">#REF!</definedName>
    <definedName name="SelectD1OrC1">#REF!</definedName>
    <definedName name="SELECTION">#REF!,#REF!,#REF!,#REF!,#REF!,#REF!,#REF!,#REF!,#REF!,#REF!,#REF!,#REF!,#REF!,#REF!,#REF!,#REF!,#REF!,#REF!,#REF!,#REF!,#REF!,#REF!,#REF!,#REF!</definedName>
    <definedName name="selection_1">#REF!</definedName>
    <definedName name="SelectLessOrExcess">#REF!</definedName>
    <definedName name="sencount" hidden="1">1</definedName>
    <definedName name="SEQU">#N/A</definedName>
    <definedName name="SERHY" localSheetId="5" hidden="1">{"Cost Summary",#N/A,FALSE,"B";"Cost Detail 1",#N/A,FALSE,"C";"Cost Detail 2",#N/A,FALSE,"C"}</definedName>
    <definedName name="SERHY" hidden="1">{"Cost Summary",#N/A,FALSE,"B";"Cost Detail 1",#N/A,FALSE,"C";"Cost Detail 2",#N/A,FALSE,"C"}</definedName>
    <definedName name="SERHYS" localSheetId="5" hidden="1">{"Total Indirect Manpower",#N/A,FALSE,"J";"Total Direct Manpower",#N/A,FALSE,"J";"Direct Structural Manpower",#N/A,FALSE,"J";"Direct Mechanical Manpower",#N/A,FALSE,"J";"Direct Piping Manpower",#N/A,FALSE,"J";"Direct Tanks Manpower",#N/A,FALSE,"J";"Direct ElecInstrSS Manpower",#N/A,FALSE,"J"}</definedName>
    <definedName name="SERHYS" hidden="1">{"Total Indirect Manpower",#N/A,FALSE,"J";"Total Direct Manpower",#N/A,FALSE,"J";"Direct Structural Manpower",#N/A,FALSE,"J";"Direct Mechanical Manpower",#N/A,FALSE,"J";"Direct Piping Manpower",#N/A,FALSE,"J";"Direct Tanks Manpower",#N/A,FALSE,"J";"Direct ElecInstrSS Manpower",#N/A,FALSE,"J"}</definedName>
    <definedName name="Serial">#REF!</definedName>
    <definedName name="Service">#REF!</definedName>
    <definedName name="SERVICE_1">#REF!</definedName>
    <definedName name="ServiceTax">#REF!</definedName>
    <definedName name="SEXP">#N/A</definedName>
    <definedName name="sf">'[171]BOQ fire proofing'!$K$4</definedName>
    <definedName name="SF4201totkvar">#REF!</definedName>
    <definedName name="SF4201totkW">#REF!</definedName>
    <definedName name="SFE">#REF!</definedName>
    <definedName name="SFN">#REF!</definedName>
    <definedName name="Sgrade">'[58]288-1'!#REF!</definedName>
    <definedName name="SHEET">#REF!</definedName>
    <definedName name="Sheet_names">#REF!</definedName>
    <definedName name="sheet1">#REF!</definedName>
    <definedName name="sheet1___0">#REF!</definedName>
    <definedName name="sheet1___13">#REF!</definedName>
    <definedName name="SHEET2">#REF!</definedName>
    <definedName name="sheet3">'[86]Electrical R01'!#REF!</definedName>
    <definedName name="ship" localSheetId="5" hidden="1">{"Total Indirect Manpower",#N/A,FALSE,"J";"Total Direct Manpower",#N/A,FALSE,"J";"Direct Structural Manpower",#N/A,FALSE,"J";"Direct Mechanical Manpower",#N/A,FALSE,"J";"Direct Piping Manpower",#N/A,FALSE,"J";"Direct Tanks Manpower",#N/A,FALSE,"J";"Direct ElecInstrSS Manpower",#N/A,FALSE,"J"}</definedName>
    <definedName name="ship" hidden="1">{"Total Indirect Manpower",#N/A,FALSE,"J";"Total Direct Manpower",#N/A,FALSE,"J";"Direct Structural Manpower",#N/A,FALSE,"J";"Direct Mechanical Manpower",#N/A,FALSE,"J";"Direct Piping Manpower",#N/A,FALSE,"J";"Direct Tanks Manpower",#N/A,FALSE,"J";"Direct ElecInstrSS Manpower",#N/A,FALSE,"J"}</definedName>
    <definedName name="Shipping" localSheetId="5"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[168]dummy!$A$51:$G$74</definedName>
    <definedName name="sho">#REF!</definedName>
    <definedName name="shoe">#REF!</definedName>
    <definedName name="short" localSheetId="5" hidden="1">{#N/A,#N/A,FALSE,"COVER1.XLS ";#N/A,#N/A,FALSE,"RACT1.XLS";#N/A,#N/A,FALSE,"RACT2.XLS";#N/A,#N/A,FALSE,"ECCMP";#N/A,#N/A,FALSE,"WELDER.XLS"}</definedName>
    <definedName name="short" hidden="1">{#N/A,#N/A,FALSE,"COVER1.XLS ";#N/A,#N/A,FALSE,"RACT1.XLS";#N/A,#N/A,FALSE,"RACT2.XLS";#N/A,#N/A,FALSE,"ECCMP";#N/A,#N/A,FALSE,"WELDER.XLS"}</definedName>
    <definedName name="SHORT_CODE">#REF!</definedName>
    <definedName name="SHORTCODE1">#REF!</definedName>
    <definedName name="shpe">#REF!</definedName>
    <definedName name="SHS">#REF!</definedName>
    <definedName name="shsiom">'[172]Page 2'!$A$15:$S$83</definedName>
    <definedName name="sht">#REF!</definedName>
    <definedName name="shuttering" localSheetId="5" hidden="1">{#N/A,#N/A,TRUE,"Front";#N/A,#N/A,TRUE,"Simple Letter";#N/A,#N/A,TRUE,"Inside";#N/A,#N/A,TRUE,"Contents";#N/A,#N/A,TRUE,"Basis";#N/A,#N/A,TRUE,"Inclusions";#N/A,#N/A,TRUE,"Exclusions";#N/A,#N/A,TRUE,"Areas";#N/A,#N/A,TRUE,"Summary";#N/A,#N/A,TRUE,"Detail"}</definedName>
    <definedName name="shuttering" hidden="1">{#N/A,#N/A,TRUE,"Front";#N/A,#N/A,TRUE,"Simple Letter";#N/A,#N/A,TRUE,"Inside";#N/A,#N/A,TRUE,"Contents";#N/A,#N/A,TRUE,"Basis";#N/A,#N/A,TRUE,"Inclusions";#N/A,#N/A,TRUE,"Exclusions";#N/A,#N/A,TRUE,"Areas";#N/A,#N/A,TRUE,"Summary";#N/A,#N/A,TRUE,"Detail"}</definedName>
    <definedName name="si">'[52]FT-05-02IsoBOM'!#REF!</definedName>
    <definedName name="Sideslope">#REF!</definedName>
    <definedName name="SIGMA">#REF!</definedName>
    <definedName name="Sigma_AISC_Values">#REF!</definedName>
    <definedName name="sigma0.2">#REF!</definedName>
    <definedName name="sigma0_2">#REF!</definedName>
    <definedName name="sigmab">#REF!</definedName>
    <definedName name="sigmah">#REF!</definedName>
    <definedName name="sigmat">#REF!</definedName>
    <definedName name="sigy">#REF!</definedName>
    <definedName name="simu" localSheetId="5" hidden="1">{#N/A,#N/A,FALSE,"ENG'G(보호계전기)"}</definedName>
    <definedName name="simu" hidden="1">{#N/A,#N/A,FALSE,"ENG'G(보호계전기)"}</definedName>
    <definedName name="simulator" localSheetId="5" hidden="1">{#N/A,#N/A,FALSE,"ENG'G(보호계전기)"}</definedName>
    <definedName name="simulator" hidden="1">{#N/A,#N/A,FALSE,"ENG'G(보호계전기)"}</definedName>
    <definedName name="SITE">#REF!</definedName>
    <definedName name="SIZE">[131]CLASS!$G$1:$G$22</definedName>
    <definedName name="SIZE_2">#REF!</definedName>
    <definedName name="Size_in_MM">'[61]TECH DATA'!#REF!</definedName>
    <definedName name="SIZE1">[173]CLASS!$I$1:$I$22</definedName>
    <definedName name="SIZE2">#REF!</definedName>
    <definedName name="SIZE3">#REF!</definedName>
    <definedName name="SIZE4">#REF!</definedName>
    <definedName name="skew">[174]bASICDATA!$E$21</definedName>
    <definedName name="SL">#REF!</definedName>
    <definedName name="Sl_No">#REF!</definedName>
    <definedName name="SLAB">#N/A</definedName>
    <definedName name="slabt">#REF!</definedName>
    <definedName name="Sleeper">[175]Pumps!#REF!</definedName>
    <definedName name="slope">#REF!</definedName>
    <definedName name="slope_">#REF!</definedName>
    <definedName name="slp">#REF!</definedName>
    <definedName name="SMAT">#N/A</definedName>
    <definedName name="SMHR">#N/A</definedName>
    <definedName name="SMLTOOLS">#REF!</definedName>
    <definedName name="SN">#REF!</definedName>
    <definedName name="So">'[176]Cable trench'!$M$11</definedName>
    <definedName name="soil">#REF!</definedName>
    <definedName name="SOIL1">#REF!</definedName>
    <definedName name="SOIL2">#REF!</definedName>
    <definedName name="soilcapacity">#REF!</definedName>
    <definedName name="SORT">#REF!</definedName>
    <definedName name="SORT_AREA">'[177]DI-ESTI'!$A$8:$R$489</definedName>
    <definedName name="SP">#REF!</definedName>
    <definedName name="SP_AREA">[55]Calendar!$K$1:$K$65536</definedName>
    <definedName name="Span">#REF!</definedName>
    <definedName name="span_of_32_Mtrs._For_each_crane.">#REF!</definedName>
    <definedName name="SPARES_CL">#REF!</definedName>
    <definedName name="SPC_INT_LIV_RF">#REF!</definedName>
    <definedName name="SPEC">#REF!</definedName>
    <definedName name="SpecialPrice" hidden="1">#REF!</definedName>
    <definedName name="specilty_linewise">#REF!</definedName>
    <definedName name="SpecNo">#REF!</definedName>
    <definedName name="SPECSUMMARY">#REF!</definedName>
    <definedName name="SPEED">#REF!</definedName>
    <definedName name="Spmg">'[108]basic-data'!$D$7</definedName>
    <definedName name="SPP">#REF!</definedName>
    <definedName name="sppcs">#REF!</definedName>
    <definedName name="SPREAD">#REF!</definedName>
    <definedName name="spread1" localSheetId="5" hidden="1">{"Total Indirect Manpower",#N/A,FALSE,"J";"Total Direct Manpower",#N/A,FALSE,"J";"Direct Structural Manpower",#N/A,FALSE,"J";"Direct Mechanical Manpower",#N/A,FALSE,"J";"Direct Piping Manpower",#N/A,FALSE,"J";"Direct Tanks Manpower",#N/A,FALSE,"J";"Direct ElecInstrSS Manpower",#N/A,FALSE,"J"}</definedName>
    <definedName name="spread1" hidden="1">{"Total Indirect Manpower",#N/A,FALSE,"J";"Total Direct Manpower",#N/A,FALSE,"J";"Direct Structural Manpower",#N/A,FALSE,"J";"Direct Mechanical Manpower",#N/A,FALSE,"J";"Direct Piping Manpower",#N/A,FALSE,"J";"Direct Tanks Manpower",#N/A,FALSE,"J";"Direct ElecInstrSS Manpower",#N/A,FALSE,"J"}</definedName>
    <definedName name="Spv">'[58]288-1'!#REF!</definedName>
    <definedName name="SQRT__1___0.6___1.0">#REF!</definedName>
    <definedName name="SQRT__1___0_6___1_0">#REF!</definedName>
    <definedName name="SQRT__1___0_6___1_0___0">#REF!</definedName>
    <definedName name="SQRT__1___0_6___1_0___13">#REF!</definedName>
    <definedName name="sri">#REF!</definedName>
    <definedName name="SRUG">[178]Coversheet!$C$18</definedName>
    <definedName name="ss" localSheetId="5" hidden="1">{"Execavation",#N/A,FALSE,"furniture (employer)"}</definedName>
    <definedName name="ss" hidden="1">{"Execavation",#N/A,FALSE,"furniture (employer)"}</definedName>
    <definedName name="SS_1">#REF!</definedName>
    <definedName name="ssaa" localSheetId="5" hidden="1">{"Cost Summary",#N/A,FALSE,"B";"Cost Detail 1",#N/A,FALSE,"C";"Cost Detail 2",#N/A,FALSE,"C"}</definedName>
    <definedName name="ssaa" hidden="1">{"Cost Summary",#N/A,FALSE,"B";"Cost Detail 1",#N/A,FALSE,"C";"Cost Detail 2",#N/A,FALSE,"C"}</definedName>
    <definedName name="SSC" localSheetId="5" hidden="1">{"'Bill No. 7'!$A$1:$G$32"}</definedName>
    <definedName name="SSC" localSheetId="1" hidden="1">{"'Bill No. 7'!$A$1:$G$32"}</definedName>
    <definedName name="SSC" hidden="1">{"'Bill No. 7'!$A$1:$G$32"}</definedName>
    <definedName name="ssc_1">#REF!</definedName>
    <definedName name="ssfdfd" localSheetId="5" hidden="1">{#N/A,#N/A,FALSE,"Sheet1";#N/A,#N/A,FALSE,"Sheet1";#N/A,#N/A,FALSE,"Sheet1";#N/A,#N/A,FALSE,"Sheet1"}</definedName>
    <definedName name="ssfdfd" hidden="1">{#N/A,#N/A,FALSE,"Sheet1";#N/A,#N/A,FALSE,"Sheet1";#N/A,#N/A,FALSE,"Sheet1";#N/A,#N/A,FALSE,"Sheet1"}</definedName>
    <definedName name="ssfsd">[179]Analysis!$D$311</definedName>
    <definedName name="sss" localSheetId="5" hidden="1">{"'Sheet1'!$A$4386:$N$4591"}</definedName>
    <definedName name="sss" hidden="1">{"'Sheet1'!$A$4386:$N$4591"}</definedName>
    <definedName name="ssss" hidden="1">#REF!</definedName>
    <definedName name="sssss">#REF!</definedName>
    <definedName name="sst">[166]foundation!$F$112</definedName>
    <definedName name="SSTR">#REF!</definedName>
    <definedName name="ssv"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sv"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t" localSheetId="5" hidden="1">{#N/A,#N/A,TRUE,"Front";#N/A,#N/A,TRUE,"Simple Letter";#N/A,#N/A,TRUE,"Inside";#N/A,#N/A,TRUE,"Contents";#N/A,#N/A,TRUE,"Basis";#N/A,#N/A,TRUE,"Inclusions";#N/A,#N/A,TRUE,"Exclusions";#N/A,#N/A,TRUE,"Areas";#N/A,#N/A,TRUE,"Summary";#N/A,#N/A,TRUE,"Detail"}</definedName>
    <definedName name="st" hidden="1">{#N/A,#N/A,TRUE,"Front";#N/A,#N/A,TRUE,"Simple Letter";#N/A,#N/A,TRUE,"Inside";#N/A,#N/A,TRUE,"Contents";#N/A,#N/A,TRUE,"Basis";#N/A,#N/A,TRUE,"Inclusions";#N/A,#N/A,TRUE,"Exclusions";#N/A,#N/A,TRUE,"Areas";#N/A,#N/A,TRUE,"Summary";#N/A,#N/A,TRUE,"Detail"}</definedName>
    <definedName name="st1_">#REF!</definedName>
    <definedName name="St1_B">#REF!</definedName>
    <definedName name="St1_DO">#REF!</definedName>
    <definedName name="St1_FP">#REF!</definedName>
    <definedName name="St1_JBP">#REF!</definedName>
    <definedName name="St1_L">#REF!</definedName>
    <definedName name="St1_SP">#REF!</definedName>
    <definedName name="St2_B">#REF!</definedName>
    <definedName name="St2_DO">#REF!</definedName>
    <definedName name="St2_FP">#REF!</definedName>
    <definedName name="St2_JBP">#REF!</definedName>
    <definedName name="St2_L">#REF!</definedName>
    <definedName name="St2_SP">#REF!</definedName>
    <definedName name="st4_">#REF!</definedName>
    <definedName name="st5_">#REF!</definedName>
    <definedName name="Staircase">#REF!</definedName>
    <definedName name="Staircase2">#REF!</definedName>
    <definedName name="stanchion">#REF!,#REF!,#REF!</definedName>
    <definedName name="stand" localSheetId="5" hidden="1">{"'Sheet1'!$A$4386:$N$4591"}</definedName>
    <definedName name="stand" hidden="1">{"'Sheet1'!$A$4386:$N$4591"}</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PROJECT">#N/A</definedName>
    <definedName name="START_PROJECT_1">#N/A</definedName>
    <definedName name="START_PROJECT_10">#N/A</definedName>
    <definedName name="START_PROJECT_11">#N/A</definedName>
    <definedName name="START_PROJECT_12">#N/A</definedName>
    <definedName name="START_PROJECT_4">#N/A</definedName>
    <definedName name="START_PROJECT_6">#N/A</definedName>
    <definedName name="START_PROJECT_7">#N/A</definedName>
    <definedName name="START_PROJECT_8">#N/A</definedName>
    <definedName name="START_PROJECT_9">#N/A</definedName>
    <definedName name="State">#REF!</definedName>
    <definedName name="Stc">'[40]INNER TANK'!$E$8</definedName>
    <definedName name="STD">#REF!</definedName>
    <definedName name="steam_props">#REF!</definedName>
    <definedName name="Steel_Density">#REF!</definedName>
    <definedName name="Steel_Table">'[35]Analysis and design results'!$A$7:$N$31</definedName>
    <definedName name="Stock">#REF!</definedName>
    <definedName name="StreamAttributes">'[180]UNIT 40_180_MGCS_INTERC .SYS'!#REF!</definedName>
    <definedName name="StreamAttributes___0">#REF!</definedName>
    <definedName name="StreamAttributes___0___0">#REF!</definedName>
    <definedName name="StreamAttributes___0___0___0">'[180]UNIT 40_430_D_O_System'!#REF!</definedName>
    <definedName name="StreamData___0">#REF!</definedName>
    <definedName name="StreamData___0___0">#REF!</definedName>
    <definedName name="StrID">#REF!</definedName>
    <definedName name="Strouhal_no.">#REF!</definedName>
    <definedName name="structure">#REF!</definedName>
    <definedName name="stu">#REF!</definedName>
    <definedName name="Su">#REF!</definedName>
    <definedName name="Sub_class1">#REF!</definedName>
    <definedName name="Sub_class10">#REF!</definedName>
    <definedName name="Sub_class11">#REF!</definedName>
    <definedName name="Sub_class12">#REF!</definedName>
    <definedName name="Sub_class13">#REF!</definedName>
    <definedName name="Sub_class14">#REF!</definedName>
    <definedName name="Sub_class15">#REF!</definedName>
    <definedName name="Sub_class2">#REF!</definedName>
    <definedName name="Sub_class3">#REF!</definedName>
    <definedName name="Sub_class4">#REF!</definedName>
    <definedName name="Sub_class5">#REF!</definedName>
    <definedName name="Sub_class6">#REF!</definedName>
    <definedName name="Sub_class7">#REF!</definedName>
    <definedName name="Sub_class8">#REF!</definedName>
    <definedName name="Sub_class9">#REF!</definedName>
    <definedName name="Sub_classes" localSheetId="5">[0]!____________vbt200,[0]!___________BTM150,[0]!___________BTM200,[0]!___________BTM50,[0]!___________CON1,[0]!___________CON2,[0]!___________EXC2,[0]!___________hom2,[0]!___________msl100,[0]!____________vbt210,[0]!____________vbt300,[0]!____________vbt400,[0]!____________vxm300,[0]!____________vxm500,[0]!____________vxm75</definedName>
    <definedName name="Sub_classes">[0]!____________vbt200,[0]!___________BTM150,[0]!___________BTM200,[0]!___________BTM50,[0]!___________CON1,[0]!___________CON2,[0]!___________EXC2,[0]!___________hom2,[0]!___________msl100,[0]!____________vbt210,[0]!____________vbt300,[0]!____________vbt400,[0]!____________vxm300,[0]!____________vxm500,[0]!____________vxm75</definedName>
    <definedName name="SUB_TYPE">[133]VALIDATION!$B$2:$B$46</definedName>
    <definedName name="Subject">#REF!</definedName>
    <definedName name="SubType">[120]valid_table!$C$1:$C$65536</definedName>
    <definedName name="succ" localSheetId="5" hidden="1">{#N/A,#N/A,FALSE,"COVER1.XLS ";#N/A,#N/A,FALSE,"RACT1.XLS";#N/A,#N/A,FALSE,"RACT2.XLS";#N/A,#N/A,FALSE,"ECCMP";#N/A,#N/A,FALSE,"WELDER.XLS"}</definedName>
    <definedName name="succ" hidden="1">{#N/A,#N/A,FALSE,"COVER1.XLS ";#N/A,#N/A,FALSE,"RACT1.XLS";#N/A,#N/A,FALSE,"RACT2.XLS";#N/A,#N/A,FALSE,"ECCMP";#N/A,#N/A,FALSE,"WELDER.XLS"}</definedName>
    <definedName name="SUFFIX">#REF!</definedName>
    <definedName name="SUFFIX_1">#REF!</definedName>
    <definedName name="SUM">#REF!,#REF!</definedName>
    <definedName name="sumana">#REF!</definedName>
    <definedName name="sumit">[169]terbs!#REF!</definedName>
    <definedName name="summ" hidden="1">#REF!</definedName>
    <definedName name="Summaary" hidden="1">[181]S1BOQ!#REF!</definedName>
    <definedName name="SUMMARY">#REF!</definedName>
    <definedName name="Sup_MATL_Rate">#REF!</definedName>
    <definedName name="Sup_MD_Rate">#REF!</definedName>
    <definedName name="supals">#REF!</definedName>
    <definedName name="suppss">#REF!</definedName>
    <definedName name="suresh">#REF!</definedName>
    <definedName name="SURF_AREA">[55]Calendar!$L$1:$L$65536</definedName>
    <definedName name="SURFACE">#REF!</definedName>
    <definedName name="SVFFG" localSheetId="5" hidden="1">{#N/A,#N/A,TRUE,"Front";#N/A,#N/A,TRUE,"Simple Letter";#N/A,#N/A,TRUE,"Inside";#N/A,#N/A,TRUE,"Contents";#N/A,#N/A,TRUE,"Basis";#N/A,#N/A,TRUE,"Inclusions";#N/A,#N/A,TRUE,"Exclusions";#N/A,#N/A,TRUE,"Areas";#N/A,#N/A,TRUE,"Summary";#N/A,#N/A,TRUE,"Detail"}</definedName>
    <definedName name="SVFFG" hidden="1">{#N/A,#N/A,TRUE,"Front";#N/A,#N/A,TRUE,"Simple Letter";#N/A,#N/A,TRUE,"Inside";#N/A,#N/A,TRUE,"Contents";#N/A,#N/A,TRUE,"Basis";#N/A,#N/A,TRUE,"Inclusions";#N/A,#N/A,TRUE,"Exclusions";#N/A,#N/A,TRUE,"Areas";#N/A,#N/A,TRUE,"Summary";#N/A,#N/A,TRUE,"Detail"}</definedName>
    <definedName name="SW" localSheetId="5" hidden="1">{"'Sheet1'!$A$4386:$N$4591"}</definedName>
    <definedName name="SW" localSheetId="1" hidden="1">{"'Sheet1'!$A$4386:$N$4591"}</definedName>
    <definedName name="SW" hidden="1">{"'Sheet1'!$A$4386:$N$4591"}</definedName>
    <definedName name="SW_1">#REF!</definedName>
    <definedName name="SW_10">#REF!</definedName>
    <definedName name="SW_11">#REF!</definedName>
    <definedName name="SW_12">#REF!</definedName>
    <definedName name="SW_4">#REF!</definedName>
    <definedName name="SWBR_5021A">#REF!</definedName>
    <definedName name="SWBR_5021B">#REF!</definedName>
    <definedName name="SWBR_5021E">#REF!</definedName>
    <definedName name="SWBR_5031A">#REF!</definedName>
    <definedName name="SWBR_5031B">#REF!</definedName>
    <definedName name="SWBR_5031E">#REF!</definedName>
    <definedName name="Sx">#REF!</definedName>
    <definedName name="Sxx">#REF!</definedName>
    <definedName name="Sxx_1">#REF!</definedName>
    <definedName name="Sxx_10">#REF!</definedName>
    <definedName name="Sxx_11">#REF!</definedName>
    <definedName name="Sxx_12">#REF!</definedName>
    <definedName name="Sxx_4">#REF!</definedName>
    <definedName name="Sydney">#REF!</definedName>
    <definedName name="sys">'[157]5'!#REF!</definedName>
    <definedName name="SystemNo">#REF!</definedName>
    <definedName name="Syy">#REF!</definedName>
    <definedName name="Syy_1">#REF!</definedName>
    <definedName name="Syy_10">#REF!</definedName>
    <definedName name="Syy_11">#REF!</definedName>
    <definedName name="Syy_12">#REF!</definedName>
    <definedName name="Syy_4">#REF!</definedName>
    <definedName name="Sz">#REF!</definedName>
    <definedName name="T">#REF!</definedName>
    <definedName name="t___0">#REF!</definedName>
    <definedName name="t___13">#REF!</definedName>
    <definedName name="t_1">#REF!</definedName>
    <definedName name="t_10">#REF!</definedName>
    <definedName name="t_11">#REF!</definedName>
    <definedName name="t_12">#REF!</definedName>
    <definedName name="t_4">#REF!</definedName>
    <definedName name="T_a">'[40]INNER TANK'!$E$23</definedName>
    <definedName name="T_p">'[40]INNER TANK'!$E$22</definedName>
    <definedName name="T_USE">#REF!</definedName>
    <definedName name="T0">#REF!</definedName>
    <definedName name="ta">#REF!</definedName>
    <definedName name="tab" localSheetId="5" hidden="1">{#N/A,#N/A,TRUE,"Front";#N/A,#N/A,TRUE,"Simple Letter";#N/A,#N/A,TRUE,"Inside";#N/A,#N/A,TRUE,"Contents";#N/A,#N/A,TRUE,"Basis";#N/A,#N/A,TRUE,"Inclusions";#N/A,#N/A,TRUE,"Exclusions";#N/A,#N/A,TRUE,"Areas";#N/A,#N/A,TRUE,"Summary";#N/A,#N/A,TRUE,"Detail"}</definedName>
    <definedName name="tab" hidden="1">{#N/A,#N/A,TRUE,"Front";#N/A,#N/A,TRUE,"Simple Letter";#N/A,#N/A,TRUE,"Inside";#N/A,#N/A,TRUE,"Contents";#N/A,#N/A,TRUE,"Basis";#N/A,#N/A,TRUE,"Inclusions";#N/A,#N/A,TRUE,"Exclusions";#N/A,#N/A,TRUE,"Areas";#N/A,#N/A,TRUE,"Summary";#N/A,#N/A,TRUE,"Detail"}</definedName>
    <definedName name="Tabela">'[170]ASME B 36.10 M'!$D$3:$W$48</definedName>
    <definedName name="tabl">#REF!</definedName>
    <definedName name="table">#REF!</definedName>
    <definedName name="TABLE_4">#REF!</definedName>
    <definedName name="Table_conv">#REF!</definedName>
    <definedName name="table_disci">#REF!</definedName>
    <definedName name="Table_MB_Section">[35]Sls!$A$5:$M$18</definedName>
    <definedName name="Table_Md">'[46]Back_Cal_for OMC'!$G$7:$J$7</definedName>
    <definedName name="Table_Q4A">'[40]INNER TANK'!$BB$46:$BH$49</definedName>
    <definedName name="Table_repABC">#REF!</definedName>
    <definedName name="Table_Wt">'[46]Back_Cal_for OMC'!#REF!</definedName>
    <definedName name="table1">#REF!</definedName>
    <definedName name="table2">#REF!</definedName>
    <definedName name="table250">#REF!</definedName>
    <definedName name="table275">#REF!</definedName>
    <definedName name="Table3">#REF!</definedName>
    <definedName name="table300">#REF!</definedName>
    <definedName name="table325">#REF!</definedName>
    <definedName name="table350">#REF!</definedName>
    <definedName name="table375">#REF!</definedName>
    <definedName name="Table4">#REF!</definedName>
    <definedName name="table400">#REF!</definedName>
    <definedName name="table425">#REF!</definedName>
    <definedName name="table450">#REF!</definedName>
    <definedName name="table475">#REF!</definedName>
    <definedName name="Table5">#REF!</definedName>
    <definedName name="table500">#REF!</definedName>
    <definedName name="table525">#REF!</definedName>
    <definedName name="table550">#REF!</definedName>
    <definedName name="table575">#REF!</definedName>
    <definedName name="table6">#REF!</definedName>
    <definedName name="table600">#REF!</definedName>
    <definedName name="table625">#REF!</definedName>
    <definedName name="table650">#REF!</definedName>
    <definedName name="table675">#REF!</definedName>
    <definedName name="Table7">#REF!</definedName>
    <definedName name="table700">#REF!</definedName>
    <definedName name="table725">#REF!</definedName>
    <definedName name="table750">#REF!</definedName>
    <definedName name="table775">#REF!</definedName>
    <definedName name="Table8">#REF!</definedName>
    <definedName name="table800">#REF!</definedName>
    <definedName name="Table9">#REF!</definedName>
    <definedName name="TABLEAUX">#REF!</definedName>
    <definedName name="TableData">#REF!</definedName>
    <definedName name="TableRange">#REF!</definedName>
    <definedName name="tables">#REF!</definedName>
    <definedName name="TableSummary" hidden="1">#REF!</definedName>
    <definedName name="TAG_F">#REF!</definedName>
    <definedName name="Tag_no.">#REF!</definedName>
    <definedName name="TAMTINH">[182]DG3285!#REF!</definedName>
    <definedName name="tank">#REF!</definedName>
    <definedName name="tap_h_r">[25]MTO!$O$111</definedName>
    <definedName name="Taux">[21]Informa.!$I$27</definedName>
    <definedName name="taux2">'[183]Direction projet'!$AC$6</definedName>
    <definedName name="taux3">'[183]Direction projet'!$AC$7</definedName>
    <definedName name="Tax">#REF!</definedName>
    <definedName name="TaxTV">10%</definedName>
    <definedName name="TaxXL">5%</definedName>
    <definedName name="Tb">#REF!</definedName>
    <definedName name="TB_SK">#REF!</definedName>
    <definedName name="TB_SKM">#REF!</definedName>
    <definedName name="TB_ST">#REF!</definedName>
    <definedName name="TB_STM">#REF!</definedName>
    <definedName name="TBA">#REF!</definedName>
    <definedName name="TBL_C6_6">#REF!</definedName>
    <definedName name="tbl_ProdInfo" hidden="1">#REF!</definedName>
    <definedName name="TBM">#REF!</definedName>
    <definedName name="TBM_No.">#REF!</definedName>
    <definedName name="tc">#REF!</definedName>
    <definedName name="tcan1">[109]section!$G$41</definedName>
    <definedName name="tcan2">[109]section!$G$42</definedName>
    <definedName name="td">#REF!</definedName>
    <definedName name="tdeck">[109]section!$G$40</definedName>
    <definedName name="tdia">#REF!</definedName>
    <definedName name="tdt">#REF!</definedName>
    <definedName name="te">#REF!</definedName>
    <definedName name="tech" localSheetId="5" hidden="1">{#N/A,#N/A,FALSE,"Sheet1";#N/A,#N/A,FALSE,"Sheet1";#N/A,#N/A,FALSE,"Sheet1";#N/A,#N/A,FALSE,"Sheet1"}</definedName>
    <definedName name="tech" hidden="1">{#N/A,#N/A,FALSE,"Sheet1";#N/A,#N/A,FALSE,"Sheet1";#N/A,#N/A,FALSE,"Sheet1";#N/A,#N/A,FALSE,"Sheet1"}</definedName>
    <definedName name="tech_dg70_15" localSheetId="5" hidden="1">{#N/A,#N/A,FALSE,"Sheet1";#N/A,#N/A,FALSE,"Sheet1";#N/A,#N/A,FALSE,"Sheet1";#N/A,#N/A,FALSE,"Sheet1"}</definedName>
    <definedName name="tech_dg70_15" hidden="1">{#N/A,#N/A,FALSE,"Sheet1";#N/A,#N/A,FALSE,"Sheet1";#N/A,#N/A,FALSE,"Sheet1";#N/A,#N/A,FALSE,"Sheet1"}</definedName>
    <definedName name="TECHNIC">#REF!</definedName>
    <definedName name="techspec" localSheetId="5" hidden="1">{#N/A,#N/A,FALSE,"Sheet1";#N/A,#N/A,FALSE,"Sheet1";#N/A,#N/A,FALSE,"Sheet1";#N/A,#N/A,FALSE,"Sheet1"}</definedName>
    <definedName name="techspec" hidden="1">{#N/A,#N/A,FALSE,"Sheet1";#N/A,#N/A,FALSE,"Sheet1";#N/A,#N/A,FALSE,"Sheet1";#N/A,#N/A,FALSE,"Sheet1"}</definedName>
    <definedName name="TEI">#REF!</definedName>
    <definedName name="temp" localSheetId="5"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1" localSheetId="5"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oraryWork">'[87]DGchitiet '!#REF!</definedName>
    <definedName name="TENDERING">[148]Sheet1!$A$9:$L$32</definedName>
    <definedName name="tendons_hor">[40]MTO!$G$119</definedName>
    <definedName name="terte" localSheetId="5" hidden="1">{"'Sheet1'!$A$4386:$N$4591"}</definedName>
    <definedName name="terte" hidden="1">{"'Sheet1'!$A$4386:$N$4591"}</definedName>
    <definedName name="TEs">#REF!</definedName>
    <definedName name="TEs___0">#REF!</definedName>
    <definedName name="TEs___13">#REF!</definedName>
    <definedName name="test">#REF!</definedName>
    <definedName name="test1">#REF!</definedName>
    <definedName name="TEST12">#REF!</definedName>
    <definedName name="TEt">#REF!</definedName>
    <definedName name="TEt___0">#REF!</definedName>
    <definedName name="TEt___13">#REF!</definedName>
    <definedName name="tf">#REF!</definedName>
    <definedName name="TF_1">#REF!</definedName>
    <definedName name="TF320AL">[81]PANELBB!$C$30:$J$37</definedName>
    <definedName name="TF320CU">[81]PANELBB!$C$68:$J$76</definedName>
    <definedName name="TFAL">[81]PANELBB!$C$21:$J$29</definedName>
    <definedName name="TFCU">[81]PANELBB!$C$59:$J$67</definedName>
    <definedName name="TFDRAL">[81]PANELDR!$C$18:$E$22</definedName>
    <definedName name="TFDRCU">[81]PANELDR!$C$31:$E$35</definedName>
    <definedName name="tfi">#REF!</definedName>
    <definedName name="tft">#REF!</definedName>
    <definedName name="tg4tw">#REF!</definedName>
    <definedName name="tgp">#REF!</definedName>
    <definedName name="th" localSheetId="5" hidden="1">{"Cost Summary",#N/A,FALSE,"B";"Cost Detail 1",#N/A,FALSE,"C";"Cost Detail 2",#N/A,FALSE,"C"}</definedName>
    <definedName name="th" hidden="1">{"Cost Summary",#N/A,FALSE,"B";"Cost Detail 1",#N/A,FALSE,"C";"Cost Detail 2",#N/A,FALSE,"C"}</definedName>
    <definedName name="th_e_r">[25]MTO!$O$105</definedName>
    <definedName name="th_r">[25]MTO!$O$104</definedName>
    <definedName name="th_w">[25]MTO!$O$106</definedName>
    <definedName name="thdt">#REF!</definedName>
    <definedName name="Thermal_Expansion_table">#REF!</definedName>
    <definedName name="Theta">'[108]mem-property'!#REF!</definedName>
    <definedName name="Theta1">#REF!</definedName>
    <definedName name="Theta2">#REF!</definedName>
    <definedName name="Thh">[47]basdat!#REF!</definedName>
    <definedName name="thickness">'[40]INNER TANK'!$B$73:$C$93</definedName>
    <definedName name="THICKNESS_TABLE">'[143]THICKNESS TABLE'!$A$3:$W$32</definedName>
    <definedName name="THK">#REF!</definedName>
    <definedName name="Three_fixed_one_free_udl_constants_table">#REF!</definedName>
    <definedName name="ththth">#REF!</definedName>
    <definedName name="ththth_1">#REF!</definedName>
    <definedName name="thtrhthtrh">#REF!</definedName>
    <definedName name="THU">#REF!</definedName>
    <definedName name="thue">6</definedName>
    <definedName name="Thw">[47]basdat!#REF!</definedName>
    <definedName name="Thydr.">#REF!</definedName>
    <definedName name="tie_fac">#REF!</definedName>
    <definedName name="Tien">#REF!</definedName>
    <definedName name="Tile" localSheetId="5"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leStone">'[87]DGchitiet '!#REF!</definedName>
    <definedName name="tilt">#REF!</definedName>
    <definedName name="tilt_1">#REF!</definedName>
    <definedName name="Tim_lan_xuat_hien">#REF!</definedName>
    <definedName name="tim_xuat_hien">#REF!</definedName>
    <definedName name="timber">'[42]Material '!$G$30</definedName>
    <definedName name="tinhqt">[93]!tinhqt</definedName>
    <definedName name="TIPAREA">#REF!</definedName>
    <definedName name="TIT">#REF!</definedName>
    <definedName name="Title">'[184]Civil Boq'!$D$3</definedName>
    <definedName name="TITLE_1">#REF!</definedName>
    <definedName name="Title_work">#REF!</definedName>
    <definedName name="Title1">#REF!</definedName>
    <definedName name="Title2">#REF!</definedName>
    <definedName name="Titlr_work">#REF!</definedName>
    <definedName name="Tk">#REF!</definedName>
    <definedName name="Tkl">#REF!</definedName>
    <definedName name="tkp">[93]!tkp</definedName>
    <definedName name="tkpdt">[93]!tkpdt</definedName>
    <definedName name="tld">#REF!</definedName>
    <definedName name="tlrieng">'[185]TL rieng'!$A$6:$F$41</definedName>
    <definedName name="tly">#REF!</definedName>
    <definedName name="TMProtection">'[87]DGchitiet '!#REF!</definedName>
    <definedName name="tn">#REF!</definedName>
    <definedName name="tnt">#REF!</definedName>
    <definedName name="to">#REF!</definedName>
    <definedName name="TOD">#REF!</definedName>
    <definedName name="tog">#REF!</definedName>
    <definedName name="tol">#REF!</definedName>
    <definedName name="Tong">#REF!</definedName>
    <definedName name="tongcong">#REF!</definedName>
    <definedName name="TOP">#REF!</definedName>
    <definedName name="topas">#REF!</definedName>
    <definedName name="topdia">#REF!</definedName>
    <definedName name="topinterval">#REF!</definedName>
    <definedName name="topl">#REF!</definedName>
    <definedName name="TOPLISF">#REF!</definedName>
    <definedName name="topmax">#REF!</definedName>
    <definedName name="topn">#REF!</definedName>
    <definedName name="TopsideAirCompr">#REF!</definedName>
    <definedName name="topsideaircomprkvar">#REF!</definedName>
    <definedName name="TopsideAirComprkw">#REF!</definedName>
    <definedName name="Topsideairdryer">#REF!</definedName>
    <definedName name="Topwidth">#REF!</definedName>
    <definedName name="TOT">#REF!</definedName>
    <definedName name="tot_india">'[61]CS PIPING'!#REF!</definedName>
    <definedName name="tot_inmtr">'[61]CS PIPING'!#REF!</definedName>
    <definedName name="tot_rack">'[61]CS PIPING'!#REF!</definedName>
    <definedName name="TOT_ST">'[155]PRICE BID'!$G$14</definedName>
    <definedName name="TOTAL">#REF!</definedName>
    <definedName name="Total_flow">#REF!</definedName>
    <definedName name="Total_Length">[40]GENERALITY!$B$139</definedName>
    <definedName name="TOTAL_NO_OF_MH">[55]Calendar!$O$1:$O$65536</definedName>
    <definedName name="totalColumns">#REF!</definedName>
    <definedName name="TotalkWEMMCCSf4201">#REF!</definedName>
    <definedName name="totalLines">#REF!</definedName>
    <definedName name="TOTALSUBCONT.MHR">#REF!</definedName>
    <definedName name="TotEmNO">#REF!</definedName>
    <definedName name="TotEmNOvar">#REF!</definedName>
    <definedName name="toto">#REF!</definedName>
    <definedName name="TOWERWISE" localSheetId="5" hidden="1">{"'Sheet1'!$A$4386:$N$4591"}</definedName>
    <definedName name="TOWERWISE" hidden="1">{"'Sheet1'!$A$4386:$N$4591"}</definedName>
    <definedName name="tpcc">#REF!</definedName>
    <definedName name="TQ320AL">[81]PANELBB!$C$47:$H$54</definedName>
    <definedName name="TQ320CU">[81]PANELBB!$C$84:$H$89</definedName>
    <definedName name="TQAL">[81]PANELBB!$C$39:$H$46</definedName>
    <definedName name="TQCU">[81]PANELBB!$C$78:$H$83</definedName>
    <definedName name="tr" localSheetId="5" hidden="1">{#N/A,#N/A,FALSE,"COVER.XLS";#N/A,#N/A,FALSE,"RACT1.XLS";#N/A,#N/A,FALSE,"RACT2.XLS";#N/A,#N/A,FALSE,"ECCMP";#N/A,#N/A,FALSE,"WELDER.XLS"}</definedName>
    <definedName name="tr" hidden="1">{#N/A,#N/A,FALSE,"COVER.XLS";#N/A,#N/A,FALSE,"RACT1.XLS";#N/A,#N/A,FALSE,"RACT2.XLS";#N/A,#N/A,FALSE,"ECCMP";#N/A,#N/A,FALSE,"WELDER.XLS"}</definedName>
    <definedName name="Tra_DM_su_dung">#REF!</definedName>
    <definedName name="Tra_don_gia_KS">#REF!</definedName>
    <definedName name="Tra_DTCT">#REF!</definedName>
    <definedName name="Tra_tim_hang_mucPT_trung">#REF!</definedName>
    <definedName name="TRA_VAT_LIEU">#REF!</definedName>
    <definedName name="TRA_VL">#REF!</definedName>
    <definedName name="TRAM">[182]DG3285!#REF!</definedName>
    <definedName name="TrancheA">#REF!</definedName>
    <definedName name="TrancheB">#REF!</definedName>
    <definedName name="TrancheC">#REF!</definedName>
    <definedName name="TrancheD">#REF!</definedName>
    <definedName name="TRAVL">#REF!</definedName>
    <definedName name="tre">#REF!</definedName>
    <definedName name="trec">#N/A</definedName>
    <definedName name="trec_1">#N/A</definedName>
    <definedName name="trec_6">#N/A</definedName>
    <definedName name="trec_7">#N/A</definedName>
    <definedName name="Tres">#REF!</definedName>
    <definedName name="tres4">#REF!</definedName>
    <definedName name="TRGG" localSheetId="5" hidden="1">{#N/A,#N/A,TRUE,"Front";#N/A,#N/A,TRUE,"Simple Letter";#N/A,#N/A,TRUE,"Inside";#N/A,#N/A,TRUE,"Contents";#N/A,#N/A,TRUE,"Basis";#N/A,#N/A,TRUE,"Inclusions";#N/A,#N/A,TRUE,"Exclusions";#N/A,#N/A,TRUE,"Areas";#N/A,#N/A,TRUE,"Summary";#N/A,#N/A,TRUE,"Detail"}</definedName>
    <definedName name="TRGG" hidden="1">{#N/A,#N/A,TRUE,"Front";#N/A,#N/A,TRUE,"Simple Letter";#N/A,#N/A,TRUE,"Inside";#N/A,#N/A,TRUE,"Contents";#N/A,#N/A,TRUE,"Basis";#N/A,#N/A,TRUE,"Inclusions";#N/A,#N/A,TRUE,"Exclusions";#N/A,#N/A,TRUE,"Areas";#N/A,#N/A,TRUE,"Summary";#N/A,#N/A,TRUE,"Detail"}</definedName>
    <definedName name="trrryt" localSheetId="5"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#REF!</definedName>
    <definedName name="tS">#REF!</definedName>
    <definedName name="tS___0">#REF!</definedName>
    <definedName name="tS___13">#REF!</definedName>
    <definedName name="tsi">#REF!</definedName>
    <definedName name="tsoffit">[109]section!$G$43</definedName>
    <definedName name="tst">#REF!</definedName>
    <definedName name="Tsulph">#REF!</definedName>
    <definedName name="TT">[186]DG3285!#REF!</definedName>
    <definedName name="TTA">'[126]??? ?? (?)'!$AE$41</definedName>
    <definedName name="TTB">'[126]??? ?? (?)'!$AF$41</definedName>
    <definedName name="ttbt">#REF!</definedName>
    <definedName name="tthi">#REF!</definedName>
    <definedName name="TTLB1">#REF!</definedName>
    <definedName name="TTLB2">#REF!</definedName>
    <definedName name="TTLB3">#REF!</definedName>
    <definedName name="ttt">'[11]CT Thang Mo'!$B$309:$M$309</definedName>
    <definedName name="tttb">'[11]CT Thang Mo'!$B$431:$I$431</definedName>
    <definedName name="TTX">'[126]??? ?? (?)'!$AD$41</definedName>
    <definedName name="TUES1">#REF!</definedName>
    <definedName name="tuu">[187]VALIDATION!$A$1:$A$65536</definedName>
    <definedName name="tw">#REF!</definedName>
    <definedName name="twc">'[58]288-1'!#REF!</definedName>
    <definedName name="tweb">[109]section!$G$44</definedName>
    <definedName name="twentytwo">#REF!</definedName>
    <definedName name="twi">#REF!</definedName>
    <definedName name="twt">#REF!</definedName>
    <definedName name="Tx">#REF!</definedName>
    <definedName name="ty">#REF!</definedName>
    <definedName name="ty_le">#REF!</definedName>
    <definedName name="ty_le_BTN">#REF!</definedName>
    <definedName name="Ty_le1">#REF!</definedName>
    <definedName name="Type">#REF!</definedName>
    <definedName name="TYPE_1">#REF!</definedName>
    <definedName name="TYPE_2">#REF!</definedName>
    <definedName name="TYPE_3">#REF!</definedName>
    <definedName name="TYPE_4">#REF!</definedName>
    <definedName name="Type3">#REF!</definedName>
    <definedName name="tytrytrytrytyrtytr">#REF!</definedName>
    <definedName name="Tz">#REF!</definedName>
    <definedName name="U">#REF!</definedName>
    <definedName name="u0">#REF!</definedName>
    <definedName name="UC">[160]Sheet1!$J$2:$J$6</definedName>
    <definedName name="ufx">#REF!</definedName>
    <definedName name="UI" hidden="1">#REF!</definedName>
    <definedName name="uil">#N/A</definedName>
    <definedName name="UI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m">#REF!</definedName>
    <definedName name="UNICOD">#REF!</definedName>
    <definedName name="UNIT">#REF!</definedName>
    <definedName name="unit_eqp_cost">#REF!</definedName>
    <definedName name="unit_wt._pcc">'[188]Abutment '!#REF!</definedName>
    <definedName name="UNITCODE">#REF!</definedName>
    <definedName name="UNITE1">"Texte 159"</definedName>
    <definedName name="UNITE2">"Texte 160"</definedName>
    <definedName name="UNITNO1">#REF!</definedName>
    <definedName name="UNITS">#REF!</definedName>
    <definedName name="UnitsOfMeasure___0">#REF!</definedName>
    <definedName name="UnitsOfMeasure___0___0">#REF!</definedName>
    <definedName name="UnitWt" localSheetId="5">IF(#REF!="m",INDEX([0]!__t1, MATCH(#REF!,#REF!,), MATCH(#REF!,#REF!,)),0)</definedName>
    <definedName name="UnitWt">IF(#REF!="m",INDEX([0]!__t1, MATCH(#REF!,#REF!,), MATCH(#REF!,#REF!,)),0)</definedName>
    <definedName name="uno">#REF!</definedName>
    <definedName name="Uo">#REF!</definedName>
    <definedName name="UP">#REF!,#REF!,#REF!,#REF!,#REF!,#REF!,#REF!,#REF!,#REF!,#REF!,#REF!</definedName>
    <definedName name="UP_1">#REF!</definedName>
    <definedName name="UP_2">#REF!</definedName>
    <definedName name="UP_3">#REF!</definedName>
    <definedName name="UP_total">#REF!</definedName>
    <definedName name="upper">#REF!</definedName>
    <definedName name="usd">15000</definedName>
    <definedName name="use">#REF!</definedName>
    <definedName name="UU" localSheetId="5" hidden="1">{#N/A,#N/A,FALSE,"JACKETS (1100 t) (1)"}</definedName>
    <definedName name="UU" hidden="1">{#N/A,#N/A,FALSE,"JACKETS (1100 t) (1)"}</definedName>
    <definedName name="UUN">#N/A</definedName>
    <definedName name="UUU" localSheetId="5" hidden="1">{#N/A,#N/A,FALSE,"CCTV"}</definedName>
    <definedName name="UUU" hidden="1">{#N/A,#N/A,FALSE,"CCTV"}</definedName>
    <definedName name="uv">#REF!</definedName>
    <definedName name="V">#REF!</definedName>
    <definedName name="va">#REF!</definedName>
    <definedName name="va___0">#REF!</definedName>
    <definedName name="va___13">#REF!</definedName>
    <definedName name="VAÄT_LIEÄU">"ATRAM"</definedName>
    <definedName name="Vacation_pay">[70]Bidform!#REF!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ves">#REF!</definedName>
    <definedName name="VANDEMATARAM">#REF!</definedName>
    <definedName name="VAR">[189]MACROS!$G$8</definedName>
    <definedName name="VARIINST">#REF!</definedName>
    <definedName name="VARIPURC">#REF!</definedName>
    <definedName name="vat">#REF!</definedName>
    <definedName name="VB">#REF!</definedName>
    <definedName name="vbt400d">#REF!</definedName>
    <definedName name="vbta">#REF!</definedName>
    <definedName name="vbtB">#REF!</definedName>
    <definedName name="vbtchongnuocm300">#REF!</definedName>
    <definedName name="vbtD">#REF!</definedName>
    <definedName name="vbtE">#REF!</definedName>
    <definedName name="vbtF">#REF!</definedName>
    <definedName name="vbtg">#REF!</definedName>
    <definedName name="vbtm150">#REF!</definedName>
    <definedName name="vbtm300">#REF!</definedName>
    <definedName name="vbtm400">#REF!</definedName>
    <definedName name="vbvbb">#REF!</definedName>
    <definedName name="VC" hidden="1">#REF!</definedName>
    <definedName name="vc3.">'[11]CT  PL'!$B$125:$H$125</definedName>
    <definedName name="vca">'[11]CT  PL'!$B$25:$H$25</definedName>
    <definedName name="vccot">#REF!</definedName>
    <definedName name="vccot.">'[11]CT  PL'!$B$8:$H$8</definedName>
    <definedName name="vcdbt">'[11]CT Thang Mo'!$B$220:$I$220</definedName>
    <definedName name="vcdc.">'[190]Chi tiet'!#REF!</definedName>
    <definedName name="vcdd">'[11]CT Thang Mo'!$B$182:$H$182</definedName>
    <definedName name="vcdt">'[11]CT Thang Mo'!$B$406:$I$406</definedName>
    <definedName name="vcdtb">'[11]CT Thang Mo'!$B$432:$I$432</definedName>
    <definedName name="vctb">#REF!</definedName>
    <definedName name="vctt">'[11]CT  PL'!$B$288:$H$288</definedName>
    <definedName name="vcvv" localSheetId="5" hidden="1">{#N/A,#N/A,TRUE,"Front";#N/A,#N/A,TRUE,"Simple Letter";#N/A,#N/A,TRUE,"Inside";#N/A,#N/A,TRUE,"Contents";#N/A,#N/A,TRUE,"Basis";#N/A,#N/A,TRUE,"Inclusions";#N/A,#N/A,TRUE,"Exclusions";#N/A,#N/A,TRUE,"Areas";#N/A,#N/A,TRUE,"Summary";#N/A,#N/A,TRUE,"Detail"}</definedName>
    <definedName name="vcvv" hidden="1">{#N/A,#N/A,TRUE,"Front";#N/A,#N/A,TRUE,"Simple Letter";#N/A,#N/A,TRUE,"Inside";#N/A,#N/A,TRUE,"Contents";#N/A,#N/A,TRUE,"Basis";#N/A,#N/A,TRUE,"Inclusions";#N/A,#N/A,TRUE,"Exclusions";#N/A,#N/A,TRUE,"Areas";#N/A,#N/A,TRUE,"Summary";#N/A,#N/A,TRUE,"Detail"}</definedName>
    <definedName name="VD">#REF!</definedName>
    <definedName name="VDCLY">[76]QMCT!#REF!</definedName>
    <definedName name="VE">#REF!</definedName>
    <definedName name="Vend">'[94]FT-05-02IsoBOM'!#REF!</definedName>
    <definedName name="veras">#REF!</definedName>
    <definedName name="verdia">#REF!</definedName>
    <definedName name="VERIFIE1">"Texte 165"</definedName>
    <definedName name="VERIFIE2">"Texte 177"</definedName>
    <definedName name="VERIFIE3">"Texte 171"</definedName>
    <definedName name="VERIFIE4">"Texte 183"</definedName>
    <definedName name="vermax">#REF!</definedName>
    <definedName name="vernum">#REF!</definedName>
    <definedName name="vertical_col_and_corner_walls">#REF!</definedName>
    <definedName name="Vew">#REF!</definedName>
    <definedName name="Vf">#REF!</definedName>
    <definedName name="Vfour">#REF!</definedName>
    <definedName name="Vh">[59]Airy!$D$18</definedName>
    <definedName name="viet">#REF!</definedName>
    <definedName name="virtusa" localSheetId="5" hidden="1">{#N/A,#N/A,TRUE,"Front";#N/A,#N/A,TRUE,"Simple Letter";#N/A,#N/A,TRUE,"Inside";#N/A,#N/A,TRUE,"Contents";#N/A,#N/A,TRUE,"Basis";#N/A,#N/A,TRUE,"Inclusions";#N/A,#N/A,TRUE,"Exclusions";#N/A,#N/A,TRUE,"Areas";#N/A,#N/A,TRUE,"Summary";#N/A,#N/A,TRUE,"Detail"}</definedName>
    <definedName name="virtusa" hidden="1">{#N/A,#N/A,TRUE,"Front";#N/A,#N/A,TRUE,"Simple Letter";#N/A,#N/A,TRUE,"Inside";#N/A,#N/A,TRUE,"Contents";#N/A,#N/A,TRUE,"Basis";#N/A,#N/A,TRUE,"Inclusions";#N/A,#N/A,TRUE,"Exclusions";#N/A,#N/A,TRUE,"Areas";#N/A,#N/A,TRUE,"Summary";#N/A,#N/A,TRUE,"Detail"}</definedName>
    <definedName name="viscosity">#REF!</definedName>
    <definedName name="VIVEKANANDA">#REF!</definedName>
    <definedName name="vk">[191]FORM7!$R$3:$S$7</definedName>
    <definedName name="vkcauthang">#REF!</definedName>
    <definedName name="vksan">#REF!</definedName>
    <definedName name="vl">#REF!</definedName>
    <definedName name="Vlcap0.7">#REF!</definedName>
    <definedName name="VLcap1">#REF!</definedName>
    <definedName name="Vmax">#REF!</definedName>
    <definedName name="VO">#REF!</definedName>
    <definedName name="voi">'[192]Gia vat tu'!#REF!</definedName>
    <definedName name="VOIT">#REF!</definedName>
    <definedName name="Vone">#REF!</definedName>
    <definedName name="VOS">#REF!</definedName>
    <definedName name="Vot">#REF!</definedName>
    <definedName name="vow">#REF!</definedName>
    <definedName name="Vowt">#REF!</definedName>
    <definedName name="Vr">#REF!</definedName>
    <definedName name="Vref">#REF!</definedName>
    <definedName name="VS">#REF!</definedName>
    <definedName name="vsasgfsghxas" localSheetId="5" hidden="1">{#N/A,#N/A,FALSE,"consu_cover";#N/A,#N/A,FALSE,"consu_strategy";#N/A,#N/A,FALSE,"consu_flow";#N/A,#N/A,FALSE,"Summary_reqmt";#N/A,#N/A,FALSE,"field_ppg";#N/A,#N/A,FALSE,"ppg_shop";#N/A,#N/A,FALSE,"strl";#N/A,#N/A,FALSE,"tankages";#N/A,#N/A,FALSE,"gases"}</definedName>
    <definedName name="vsasgfsghxas" hidden="1">{#N/A,#N/A,FALSE,"consu_cover";#N/A,#N/A,FALSE,"consu_strategy";#N/A,#N/A,FALSE,"consu_flow";#N/A,#N/A,FALSE,"Summary_reqmt";#N/A,#N/A,FALSE,"field_ppg";#N/A,#N/A,FALSE,"ppg_shop";#N/A,#N/A,FALSE,"strl";#N/A,#N/A,FALSE,"tankages";#N/A,#N/A,FALSE,"gases"}</definedName>
    <definedName name="vsdgs">#REF!</definedName>
    <definedName name="Vsigma">#REF!</definedName>
    <definedName name="vthree">#REF!</definedName>
    <definedName name="vtu">#REF!</definedName>
    <definedName name="Vtwo">#REF!</definedName>
    <definedName name="Vtwt">#REF!</definedName>
    <definedName name="vv">#REF!</definedName>
    <definedName name="vvv">[92]DESIGN!#REF!</definedName>
    <definedName name="vvvvv">#REF!</definedName>
    <definedName name="vwx">#REF!</definedName>
    <definedName name="VX" hidden="1">#REF!</definedName>
    <definedName name="Vz">#REF!</definedName>
    <definedName name="w" localSheetId="5" hidden="1">{"'照明目录'!$A$1:$H$31"}</definedName>
    <definedName name="w" hidden="1">{"'照明目录'!$A$1:$H$31"}</definedName>
    <definedName name="W_BODY">[153]BQLIST!$G$1:$G$65536</definedName>
    <definedName name="W_INTERNALS">[153]BQLIST!$I$1:$I$65536</definedName>
    <definedName name="W_PLATFORM">[153]BQLIST!$H$1:$H$65536</definedName>
    <definedName name="WA">#REF!</definedName>
    <definedName name="Waiting">"Picture 1"</definedName>
    <definedName name="wall">#REF!</definedName>
    <definedName name="wallh">#REF!</definedName>
    <definedName name="water">#REF!</definedName>
    <definedName name="waterway">#REF!</definedName>
    <definedName name="Wb">#REF!</definedName>
    <definedName name="WC">#REF!</definedName>
    <definedName name="wcon">[109]section!$G$49</definedName>
    <definedName name="WCP">#REF!</definedName>
    <definedName name="WCPY">#REF!</definedName>
    <definedName name="WCPY01">#REF!</definedName>
    <definedName name="WCPY01A">#REF!</definedName>
    <definedName name="WCPY01B">#REF!</definedName>
    <definedName name="wcs">#REF!</definedName>
    <definedName name="We">#REF!</definedName>
    <definedName name="webt">#REF!</definedName>
    <definedName name="webt_1">#REF!</definedName>
    <definedName name="webt_10">#REF!</definedName>
    <definedName name="webt_11">#REF!</definedName>
    <definedName name="webt_12">#REF!</definedName>
    <definedName name="webt_4">#REF!</definedName>
    <definedName name="WEIGHT">#REF!</definedName>
    <definedName name="WEIGHT_1">#REF!</definedName>
    <definedName name="Weight_Contingency">#REF!</definedName>
    <definedName name="weki_9701.xls" hidden="1">'[17]Eq. Mobilization'!#REF!</definedName>
    <definedName name="wekir9701.xls" hidden="1">'[17]Eq. Mobilization'!#REF!</definedName>
    <definedName name="Wem">#REF!</definedName>
    <definedName name="Wer">#REF!</definedName>
    <definedName name="WERF">[193]CLASS!$I$1:$I$32</definedName>
    <definedName name="wet">#REF!</definedName>
    <definedName name="wet_1">#REF!</definedName>
    <definedName name="wewe">#REF!</definedName>
    <definedName name="wewe_1">#REF!</definedName>
    <definedName name="Wfdn">#REF!</definedName>
    <definedName name="Wft">#REF!</definedName>
    <definedName name="wG">#REF!</definedName>
    <definedName name="WH">#REF!</definedName>
    <definedName name="Whc">#REF!</definedName>
    <definedName name="WI">#REF!</definedName>
    <definedName name="WI_">#REF!</definedName>
    <definedName name="WID">#REF!</definedName>
    <definedName name="WIDTH">#REF!</definedName>
    <definedName name="WIDTH_1">#REF!</definedName>
    <definedName name="width_foud.">'[110]pier Foundation'!$H$27</definedName>
    <definedName name="WIND1">#REF!</definedName>
    <definedName name="windo">#REF!</definedName>
    <definedName name="winds">#REF!</definedName>
    <definedName name="windspeed">#REF!</definedName>
    <definedName name="wip" localSheetId="5" hidden="1">{"'Sheet1'!$A$4386:$N$4591"}</definedName>
    <definedName name="wip" hidden="1">{"'Sheet1'!$A$4386:$N$4591"}</definedName>
    <definedName name="wipn" localSheetId="5" hidden="1">{"'Sheet1'!$A$4386:$N$4591"}</definedName>
    <definedName name="wipn" hidden="1">{"'Sheet1'!$A$4386:$N$4591"}</definedName>
    <definedName name="wkerb">'[58]288-1'!#REF!</definedName>
    <definedName name="WL">#REF!</definedName>
    <definedName name="WLP">'[52]FT-05-02IsoBOM'!#REF!</definedName>
    <definedName name="Wm">#REF!</definedName>
    <definedName name="Wo">#REF!</definedName>
    <definedName name="won">#REF!</definedName>
    <definedName name="Wop">#REF!</definedName>
    <definedName name="work">#REF!</definedName>
    <definedName name="WORK01">#REF!</definedName>
    <definedName name="WORK01A">#REF!</definedName>
    <definedName name="WORK01B">#REF!</definedName>
    <definedName name="WORK01C">#REF!</definedName>
    <definedName name="WORK02">#REF!</definedName>
    <definedName name="WORK04">#REF!</definedName>
    <definedName name="Workers_Compens._Ins.">[70]Bidform!#REF!</definedName>
    <definedName name="WORKNO">#REF!</definedName>
    <definedName name="Wp">#REF!</definedName>
    <definedName name="wpc_63">#REF!</definedName>
    <definedName name="Wpcc">#REF!</definedName>
    <definedName name="wpl_63">#REF!</definedName>
    <definedName name="WPRN01">#REF!</definedName>
    <definedName name="WPRN02">#REF!</definedName>
    <definedName name="wpu_63">#REF!</definedName>
    <definedName name="wr" localSheetId="5" hidden="1">{#N/A,#N/A,FALSE,"COVER1.XLS ";#N/A,#N/A,FALSE,"RACT1.XLS";#N/A,#N/A,FALSE,"RACT2.XLS";#N/A,#N/A,FALSE,"ECCMP";#N/A,#N/A,FALSE,"WELDER.XLS"}</definedName>
    <definedName name="wr" hidden="1">{#N/A,#N/A,FALSE,"COVER1.XLS ";#N/A,#N/A,FALSE,"RACT1.XLS";#N/A,#N/A,FALSE,"RACT2.XLS";#N/A,#N/A,FALSE,"ECCMP";#N/A,#N/A,FALSE,"WELDER.XLS"}</definedName>
    <definedName name="WRITE" localSheetId="5" hidden="1">{#N/A,#N/A,FALSE,"CCTV"}</definedName>
    <definedName name="WRITE" hidden="1">{#N/A,#N/A,FALSE,"CCTV"}</definedName>
    <definedName name="WRITER">#REF!</definedName>
    <definedName name="wrn" localSheetId="5" hidden="1">{#N/A,#N/A,TRUE,"Front";#N/A,#N/A,TRUE,"Simple Letter";#N/A,#N/A,TRUE,"Inside";#N/A,#N/A,TRUE,"Contents";#N/A,#N/A,TRUE,"Basis";#N/A,#N/A,TRUE,"Inclusions";#N/A,#N/A,TRUE,"Exclusions";#N/A,#N/A,TRUE,"Areas";#N/A,#N/A,TRUE,"Summary";#N/A,#N/A,TRUE,"Detail"}</definedName>
    <definedName name="wrn" hidden="1">{#N/A,#N/A,TRUE,"Front";#N/A,#N/A,TRUE,"Simple Letter";#N/A,#N/A,TRUE,"Inside";#N/A,#N/A,TRUE,"Contents";#N/A,#N/A,TRUE,"Basis";#N/A,#N/A,TRUE,"Inclusions";#N/A,#N/A,TRUE,"Exclusions";#N/A,#N/A,TRUE,"Areas";#N/A,#N/A,TRUE,"Summary";#N/A,#N/A,TRUE,"Detail"}</definedName>
    <definedName name="wrn.1." localSheetId="5" hidden="1">{#N/A,#N/A,FALSE,"17MAY";#N/A,#N/A,FALSE,"24MAY"}</definedName>
    <definedName name="wrn.1." hidden="1">{#N/A,#N/A,FALSE,"17MAY";#N/A,#N/A,FALSE,"24MAY"}</definedName>
    <definedName name="wrn.123." localSheetId="5" hidden="1">{#N/A,#N/A,FALSE,"Sheet1";#N/A,#N/A,FALSE,"Sheet1";#N/A,#N/A,FALSE,"Sheet1";#N/A,#N/A,FALSE,"Sheet1"}</definedName>
    <definedName name="wrn.123." hidden="1">{#N/A,#N/A,FALSE,"Sheet1";#N/A,#N/A,FALSE,"Sheet1";#N/A,#N/A,FALSE,"Sheet1";#N/A,#N/A,FALSE,"Sheet1"}</definedName>
    <definedName name="wrn.2.2" localSheetId="5" hidden="1">{#N/A,#N/A,FALSE,"17MAY";#N/A,#N/A,FALSE,"24MAY"}</definedName>
    <definedName name="wrn.2.2" hidden="1">{#N/A,#N/A,FALSE,"17MAY";#N/A,#N/A,FALSE,"24MAY"}</definedName>
    <definedName name="wrn.A." localSheetId="5"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bc." localSheetId="5" hidden="1">{"Execavation",#N/A,FALSE,"furniture (employer)"}</definedName>
    <definedName name="wrn.abc." hidden="1">{"Execavation",#N/A,FALSE,"furniture (employer)"}</definedName>
    <definedName name="wrn.BM." localSheetId="5" hidden="1">{#N/A,#N/A,FALSE,"CCTV"}</definedName>
    <definedName name="wrn.BM." hidden="1">{#N/A,#N/A,FALSE,"CCTV"}</definedName>
    <definedName name="wrn.budget." localSheetId="5" hidden="1">{"form-D1",#N/A,FALSE,"FORM-D1";"form-D1_amt",#N/A,FALSE,"FORM-D1"}</definedName>
    <definedName name="wrn.budget." hidden="1">{"form-D1",#N/A,FALSE,"FORM-D1";"form-D1_amt",#N/A,FALSE,"FORM-D1"}</definedName>
    <definedName name="wrn.budget._1" localSheetId="5" hidden="1">{"form-D1",#N/A,FALSE,"FORM-D1";"form-D1_amt",#N/A,FALSE,"FORM-D1"}</definedName>
    <definedName name="wrn.budget._1" hidden="1">{"form-D1",#N/A,FALSE,"FORM-D1";"form-D1_amt",#N/A,FALSE,"FORM-D1"}</definedName>
    <definedName name="wrn.budget._2" localSheetId="5" hidden="1">{"form-D1",#N/A,FALSE,"FORM-D1";"form-D1_amt",#N/A,FALSE,"FORM-D1"}</definedName>
    <definedName name="wrn.budget._2" hidden="1">{"form-D1",#N/A,FALSE,"FORM-D1";"form-D1_amt",#N/A,FALSE,"FORM-D1"}</definedName>
    <definedName name="wrn.budget._3" localSheetId="5" hidden="1">{"form-D1",#N/A,FALSE,"FORM-D1";"form-D1_amt",#N/A,FALSE,"FORM-D1"}</definedName>
    <definedName name="wrn.budget._3" hidden="1">{"form-D1",#N/A,FALSE,"FORM-D1";"form-D1_amt",#N/A,FALSE,"FORM-D1"}</definedName>
    <definedName name="wrn.budget._4" localSheetId="5" hidden="1">{"form-D1",#N/A,FALSE,"FORM-D1";"form-D1_amt",#N/A,FALSE,"FORM-D1"}</definedName>
    <definedName name="wrn.budget._4" hidden="1">{"form-D1",#N/A,FALSE,"FORM-D1";"form-D1_amt",#N/A,FALSE,"FORM-D1"}</definedName>
    <definedName name="wrn.CASH._.FLOW." localSheetId="5" hidden="1">{"CASH FLOW",#N/A,FALSE,"A"}</definedName>
    <definedName name="wrn.CASH._.FLOW." hidden="1">{"CASH FLOW",#N/A,FALSE,"A"}</definedName>
    <definedName name="wrn.CBA."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omplete._.Cost._.Sheet." localSheetId="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5"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_.Summary." localSheetId="5" hidden="1">{"Cost Summary",#N/A,FALSE,"B";"Cost Detail 1",#N/A,FALSE,"C";"Cost Detail 2",#N/A,FALSE,"C"}</definedName>
    <definedName name="wrn.Cost._.Summary." hidden="1">{"Cost Summary",#N/A,FALSE,"B";"Cost Detail 1",#N/A,FALSE,"C";"Cost Detail 2",#N/A,FALSE,"C"}</definedName>
    <definedName name="wrn.elect." localSheetId="5"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quipment._.List." localSheetId="5" hidden="1">{#N/A,#N/A,TRUE,"COVERSHEET";#N/A,#N/A,TRUE,"LEGEND";#N/A,#N/A,TRUE,"LIST"}</definedName>
    <definedName name="wrn.Equipment._.List." hidden="1">{#N/A,#N/A,TRUE,"COVERSHEET";#N/A,#N/A,TRUE,"LEGEND";#N/A,#N/A,TRUE,"LIST"}</definedName>
    <definedName name="wrn.FTS." localSheetId="5" hidden="1">{"FTS",#N/A,FALSE,"E"}</definedName>
    <definedName name="wrn.FTS." hidden="1">{"FTS",#N/A,FALSE,"E"}</definedName>
    <definedName name="wrn.FTS._.PLANT._.BREAKUP." localSheetId="5" hidden="1">{"PLANT BREAKUP",#N/A,FALSE,"E"}</definedName>
    <definedName name="wrn.FTS._.PLANT._.BREAKUP." hidden="1">{"PLANT BREAKUP",#N/A,FALSE,"E"}</definedName>
    <definedName name="WRN.FULL" localSheetId="5" hidden="1">{#N/A,#N/A,TRUE,"Front";#N/A,#N/A,TRUE,"Simple Letter";#N/A,#N/A,TRUE,"Inside";#N/A,#N/A,TRUE,"Contents";#N/A,#N/A,TRUE,"Basis";#N/A,#N/A,TRUE,"Inclusions";#N/A,#N/A,TRUE,"Exclusions";#N/A,#N/A,TRUE,"Areas";#N/A,#N/A,TRUE,"Summary";#N/A,#N/A,TRUE,"Detail"}</definedName>
    <definedName name="WRN.FULL" hidden="1">{#N/A,#N/A,TRUE,"Front";#N/A,#N/A,TRUE,"Simple Letter";#N/A,#N/A,TRUE,"Inside";#N/A,#N/A,TRUE,"Contents";#N/A,#N/A,TRUE,"Basis";#N/A,#N/A,TRUE,"Inclusions";#N/A,#N/A,TRUE,"Exclusions";#N/A,#N/A,TRUE,"Areas";#N/A,#N/A,TRUE,"Summary";#N/A,#N/A,TRUE,"Detail"}</definedName>
    <definedName name="wrn.Full._.Report." localSheetId="5"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d" localSheetId="5"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localSheetId="5"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LISTE_CONSO." localSheetId="5" hidden="1">{#N/A,#N/A,FALSE,"PageGarde";#N/A,#N/A,FALSE,"Notes";#N/A,#N/A,FALSE,"LCE"}</definedName>
    <definedName name="wrn.LISTE_CONSO." hidden="1">{#N/A,#N/A,FALSE,"PageGarde";#N/A,#N/A,FALSE,"Notes";#N/A,#N/A,FALSE,"LCE"}</definedName>
    <definedName name="wrn.Manpower._.Details." localSheetId="5"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iping." localSheetId="5"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5" hidden="1">{"PLANNING",#N/A,FALSE,"A"}</definedName>
    <definedName name="wrn.PLANNING." hidden="1">{"PLANNING",#N/A,FALSE,"A"}</definedName>
    <definedName name="wrn.ratio." localSheetId="5" hidden="1">{#N/A,#N/A,FALSE,"JACKETS (1100 t) (1)"}</definedName>
    <definedName name="wrn.ratio." hidden="1">{#N/A,#N/A,FALSE,"JACKETS (1100 t) (1)"}</definedName>
    <definedName name="wrn.RCC." localSheetId="5"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5" hidden="1">{#N/A,#N/A,FALSE,"COVER.XLS";#N/A,#N/A,FALSE,"RACT1.XLS";#N/A,#N/A,FALSE,"RACT2.XLS";#N/A,#N/A,FALSE,"ECCMP";#N/A,#N/A,FALSE,"WELDER.XLS"}</definedName>
    <definedName name="wrn.report." hidden="1">{#N/A,#N/A,FALSE,"COVER.XLS";#N/A,#N/A,FALSE,"RACT1.XLS";#N/A,#N/A,FALSE,"RACT2.XLS";#N/A,#N/A,FALSE,"ECCMP";#N/A,#N/A,FALSE,"WELDER.XLS"}</definedName>
    <definedName name="wrn.RPLINS." localSheetId="5"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TAFFS." localSheetId="5" hidden="1">{#N/A,#N/A,FALSE,"TABLE"}</definedName>
    <definedName name="wrn.STAFFS." hidden="1">{#N/A,#N/A,FALSE,"TABLE"}</definedName>
    <definedName name="wrn.Stampa._.schede." localSheetId="5" hidden="1">{"scheda2",#N/A,TRUE,"Swb. ""R""";"scheda3",#N/A,TRUE,"Swb. ""R""";"scheda4",#N/A,TRUE,"Swb. ""R""";"scheda6",#N/A,TRUE,"Swb. ""R"""}</definedName>
    <definedName name="wrn.Stampa._.schede." hidden="1">{"scheda2",#N/A,TRUE,"Swb. ""R""";"scheda3",#N/A,TRUE,"Swb. ""R""";"scheda4",#N/A,TRUE,"Swb. ""R""";"scheda6",#N/A,TRUE,"Swb. ""R"""}</definedName>
    <definedName name="wrn.summ1" localSheetId="5" hidden="1">{#N/A,#N/A,FALSE,"COVER1.XLS ";#N/A,#N/A,FALSE,"RACT1.XLS";#N/A,#N/A,FALSE,"RACT2.XLS";#N/A,#N/A,FALSE,"ECCMP";#N/A,#N/A,FALSE,"WELDER.XLS"}</definedName>
    <definedName name="wrn.summ1" hidden="1">{#N/A,#N/A,FALSE,"COVER1.XLS ";#N/A,#N/A,FALSE,"RACT1.XLS";#N/A,#N/A,FALSE,"RACT2.XLS";#N/A,#N/A,FALSE,"ECCMP";#N/A,#N/A,FALSE,"WELDER.XLS"}</definedName>
    <definedName name="wrn.summary." localSheetId="5" hidden="1">{"SUMMARY",#N/A,FALSE,"C"}</definedName>
    <definedName name="wrn.summary." hidden="1">{"SUMMARY",#N/A,FALSE,"C"}</definedName>
    <definedName name="wrn.VESSEL및N2._.구입사양서."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교대." localSheetId="5"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보호계전기." localSheetId="5" hidden="1">{#N/A,#N/A,FALSE,"ENG'G(보호계전기)"}</definedName>
    <definedName name="wrn.보호계전기." hidden="1">{#N/A,#N/A,FALSE,"ENG'G(보호계전기)"}</definedName>
    <definedName name="WRN0" localSheetId="5" hidden="1">{#N/A,#N/A,FALSE,"COVER1.XLS ";#N/A,#N/A,FALSE,"RACT1.XLS";#N/A,#N/A,FALSE,"RACT2.XLS";#N/A,#N/A,FALSE,"ECCMP";#N/A,#N/A,FALSE,"WELDER.XLS"}</definedName>
    <definedName name="WRN0" hidden="1">{#N/A,#N/A,FALSE,"COVER1.XLS ";#N/A,#N/A,FALSE,"RACT1.XLS";#N/A,#N/A,FALSE,"RACT2.XLS";#N/A,#N/A,FALSE,"ECCMP";#N/A,#N/A,FALSE,"WELDER.XLS"}</definedName>
    <definedName name="wrnfulla" localSheetId="5" hidden="1">{#N/A,#N/A,TRUE,"Front";#N/A,#N/A,TRUE,"Simple Letter";#N/A,#N/A,TRUE,"Inside";#N/A,#N/A,TRUE,"Contents";#N/A,#N/A,TRUE,"Basis";#N/A,#N/A,TRUE,"Inclusions";#N/A,#N/A,TRUE,"Exclusions";#N/A,#N/A,TRUE,"Areas";#N/A,#N/A,TRUE,"Summary";#N/A,#N/A,TRUE,"Detail"}</definedName>
    <definedName name="wrnfulla" hidden="1">{#N/A,#N/A,TRUE,"Front";#N/A,#N/A,TRUE,"Simple Letter";#N/A,#N/A,TRUE,"Inside";#N/A,#N/A,TRUE,"Contents";#N/A,#N/A,TRUE,"Basis";#N/A,#N/A,TRUE,"Inclusions";#N/A,#N/A,TRUE,"Exclusions";#N/A,#N/A,TRUE,"Areas";#N/A,#N/A,TRUE,"Summary";#N/A,#N/A,TRUE,"Detail"}</definedName>
    <definedName name="wroof">#REF!</definedName>
    <definedName name="Ws">#REF!</definedName>
    <definedName name="ws_63">#REF!</definedName>
    <definedName name="Wsb">#REF!</definedName>
    <definedName name="wsegment">[109]section!$N$20</definedName>
    <definedName name="wsgz" localSheetId="5" hidden="1">{#N/A,#N/A,FALSE,"COVER1.XLS ";#N/A,#N/A,FALSE,"RACT1.XLS";#N/A,#N/A,FALSE,"RACT2.XLS";#N/A,#N/A,FALSE,"ECCMP";#N/A,#N/A,FALSE,"WELDER.XLS"}</definedName>
    <definedName name="wsgz" hidden="1">{#N/A,#N/A,FALSE,"COVER1.XLS ";#N/A,#N/A,FALSE,"RACT1.XLS";#N/A,#N/A,FALSE,"RACT2.XLS";#N/A,#N/A,FALSE,"ECCMP";#N/A,#N/A,FALSE,"WELDER.XLS"}</definedName>
    <definedName name="wshell">#REF!</definedName>
    <definedName name="wso">#REF!</definedName>
    <definedName name="wsoffit">[109]section!$G$39</definedName>
    <definedName name="Wstiff">'[58]288-1'!#REF!</definedName>
    <definedName name="WSU">#REF!</definedName>
    <definedName name="WT">#REF!</definedName>
    <definedName name="Wte">#REF!</definedName>
    <definedName name="Wtest1">#REF!</definedName>
    <definedName name="Wtest2">#REF!</definedName>
    <definedName name="WTOT">#REF!</definedName>
    <definedName name="WTU">#REF!</definedName>
    <definedName name="wty">#REF!</definedName>
    <definedName name="WW">#REF!</definedName>
    <definedName name="WW00">#REF!</definedName>
    <definedName name="wwc">'[58]288-1'!#REF!</definedName>
    <definedName name="WWW" localSheetId="5" hidden="1">{#N/A,#N/A,FALSE,"CCTV"}</definedName>
    <definedName name="WWW" hidden="1">{#N/A,#N/A,FALSE,"CCTV"}</definedName>
    <definedName name="WWW0">#REF!</definedName>
    <definedName name="WWWW" localSheetId="5" hidden="1">{#N/A,#N/A,FALSE,"COVER.XLS";#N/A,#N/A,FALSE,"RACT1.XLS";#N/A,#N/A,FALSE,"RACT2.XLS";#N/A,#N/A,FALSE,"ECCMP";#N/A,#N/A,FALSE,"WELDER.XLS"}</definedName>
    <definedName name="WWWW" hidden="1">{#N/A,#N/A,FALSE,"COVER.XLS";#N/A,#N/A,FALSE,"RACT1.XLS";#N/A,#N/A,FALSE,"RACT2.XLS";#N/A,#N/A,FALSE,"ECCMP";#N/A,#N/A,FALSE,"WELDER.XLS"}</definedName>
    <definedName name="wwwww" hidden="1">#REF!</definedName>
    <definedName name="x" localSheetId="5" hidden="1">{"'Sheet1'!$A$4386:$N$4591"}</definedName>
    <definedName name="x" hidden="1">{"'Sheet1'!$A$4386:$N$4591"}</definedName>
    <definedName name="X_section_mm2">#REF!</definedName>
    <definedName name="XA">#REF!</definedName>
    <definedName name="XB">#REF!</definedName>
    <definedName name="xcvxcvxc">#REF!</definedName>
    <definedName name="xcxcxcx">#REF!</definedName>
    <definedName name="XD">#REF!</definedName>
    <definedName name="xd0.6">#REF!</definedName>
    <definedName name="xd1.3">#REF!</definedName>
    <definedName name="xd1.5">#REF!</definedName>
    <definedName name="xh">#REF!</definedName>
    <definedName name="xi">#REF!</definedName>
    <definedName name="xk0.6">#REF!</definedName>
    <definedName name="xk1.3">#REF!</definedName>
    <definedName name="xk1.5">#REF!</definedName>
    <definedName name="Xl">#REF!</definedName>
    <definedName name="Xl___0">#REF!</definedName>
    <definedName name="Xl___13">#REF!</definedName>
    <definedName name="xlc">#REF!</definedName>
    <definedName name="xld1.4">#REF!</definedName>
    <definedName name="xlk">#REF!</definedName>
    <definedName name="xlk1.4">#REF!</definedName>
    <definedName name="xmcax">#REF!</definedName>
    <definedName name="xn">#REF!</definedName>
    <definedName name="xt">#REF!</definedName>
    <definedName name="xx" hidden="1">#REF!</definedName>
    <definedName name="xxx">'[58]288-1'!#REF!</definedName>
    <definedName name="XXXXX">#REF!</definedName>
    <definedName name="xxxxxx">#REF!</definedName>
    <definedName name="Y">#REF!</definedName>
    <definedName name="Y_t">[57]stress!$A$80:$I$80</definedName>
    <definedName name="Y_table">[57]stress!$A$80:$I$84</definedName>
    <definedName name="Yc">'[72]232V-010'!#REF!</definedName>
    <definedName name="Year_no">IF('[5]Engg-Exec-2'!#REF!&gt;=[5]User!$AS$8,4,IF('[5]Engg-Exec-2'!#REF!&gt;=[5]User!$AR$8,3,IF('[5]Engg-Exec-2'!#REF!&gt;=[5]User!$AQ$8,2,1)))</definedName>
    <definedName name="YES">'[71]3MLKQ'!$F$3</definedName>
    <definedName name="YES_1">#REF!</definedName>
    <definedName name="YJ" localSheetId="5" hidden="1">{"Total Indirect Manpower",#N/A,FALSE,"J";"Total Direct Manpower",#N/A,FALSE,"J";"Direct Structural Manpower",#N/A,FALSE,"J";"Direct Mechanical Manpower",#N/A,FALSE,"J";"Direct Piping Manpower",#N/A,FALSE,"J";"Direct Tanks Manpower",#N/A,FALSE,"J";"Direct ElecInstrSS Manpower",#N/A,FALSE,"J"}</definedName>
    <definedName name="YJ" hidden="1">{"Total Indirect Manpower",#N/A,FALSE,"J";"Total Direct Manpower",#N/A,FALSE,"J";"Direct Structural Manpower",#N/A,FALSE,"J";"Direct Mechanical Manpower",#N/A,FALSE,"J";"Direct Piping Manpower",#N/A,FALSE,"J";"Direct Tanks Manpower",#N/A,FALSE,"J";"Direct ElecInstrSS Manpower",#N/A,FALSE,"J"}</definedName>
    <definedName name="YJY">#REF!</definedName>
    <definedName name="YNYNYNYNY">#REF!</definedName>
    <definedName name="yrdtytyt" localSheetId="5" hidden="1">{#N/A,#N/A,FALSE,"CCTV"}</definedName>
    <definedName name="yrdtytyt" hidden="1">{#N/A,#N/A,FALSE,"CCTV"}</definedName>
    <definedName name="Ys">'[72]232V-010'!#REF!</definedName>
    <definedName name="YSB">#REF!</definedName>
    <definedName name="YU"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y">#REF!</definedName>
    <definedName name="YYY">#REF!</definedName>
    <definedName name="YYY01">#REF!</definedName>
    <definedName name="z" localSheetId="5" hidden="1">{#N/A,#N/A,TRUE,"Front";#N/A,#N/A,TRUE,"Simple Letter";#N/A,#N/A,TRUE,"Inside";#N/A,#N/A,TRUE,"Contents";#N/A,#N/A,TRUE,"Basis";#N/A,#N/A,TRUE,"Inclusions";#N/A,#N/A,TRUE,"Exclusions";#N/A,#N/A,TRUE,"Areas";#N/A,#N/A,TRUE,"Summary";#N/A,#N/A,TRUE,"Detail"}</definedName>
    <definedName name="z" hidden="1">{#N/A,#N/A,TRUE,"Front";#N/A,#N/A,TRUE,"Simple Letter";#N/A,#N/A,TRUE,"Inside";#N/A,#N/A,TRUE,"Contents";#N/A,#N/A,TRUE,"Basis";#N/A,#N/A,TRUE,"Inclusions";#N/A,#N/A,TRUE,"Exclusions";#N/A,#N/A,TRUE,"Areas";#N/A,#N/A,TRUE,"Summary";#N/A,#N/A,TRUE,"Detail"}</definedName>
    <definedName name="Z_B3255642_8A6B_11D5_916F_005004920FCB_.wvu.PrintTitles" hidden="1">#REF!</definedName>
    <definedName name="Z_BAR">#REF!</definedName>
    <definedName name="zI">[25]MTO!$O$117</definedName>
    <definedName name="Zip">#REF!</definedName>
    <definedName name="Zip1" localSheetId="5" hidden="1">{#N/A,#N/A,TRUE,"Front";#N/A,#N/A,TRUE,"Simple Letter";#N/A,#N/A,TRUE,"Inside";#N/A,#N/A,TRUE,"Contents";#N/A,#N/A,TRUE,"Basis";#N/A,#N/A,TRUE,"Inclusions";#N/A,#N/A,TRUE,"Exclusions";#N/A,#N/A,TRUE,"Areas";#N/A,#N/A,TRUE,"Summary";#N/A,#N/A,TRUE,"Detail"}</definedName>
    <definedName name="Zip1" hidden="1">{#N/A,#N/A,TRUE,"Front";#N/A,#N/A,TRUE,"Simple Letter";#N/A,#N/A,TRUE,"Inside";#N/A,#N/A,TRUE,"Contents";#N/A,#N/A,TRUE,"Basis";#N/A,#N/A,TRUE,"Inclusions";#N/A,#N/A,TRUE,"Exclusions";#N/A,#N/A,TRUE,"Areas";#N/A,#N/A,TRUE,"Summary";#N/A,#N/A,TRUE,"Detail"}</definedName>
    <definedName name="zJ">[25]MTO!$O$122</definedName>
    <definedName name="zl">#REF!</definedName>
    <definedName name="zl___0">#REF!</definedName>
    <definedName name="zl___13">#REF!</definedName>
    <definedName name="zlpu">#REF!</definedName>
    <definedName name="zlpu___0">#REF!</definedName>
    <definedName name="zlpu___13">#REF!</definedName>
    <definedName name="zn">#REF!</definedName>
    <definedName name="Zone_Compil">#REF!</definedName>
    <definedName name="Zone_eff_dis">#REF!</definedName>
    <definedName name="Zone_impres_MI">#REF!</definedName>
    <definedName name="zone_saisie">#REF!,#REF!,#REF!,#REF!</definedName>
    <definedName name="ZONE1">#REF!</definedName>
    <definedName name="Zpp">#REF!</definedName>
    <definedName name="ZPPX">#REF!</definedName>
    <definedName name="ZPPY">#REF!</definedName>
    <definedName name="zq_syst">#REF!</definedName>
    <definedName name="zr">#REF!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X">#REF!</definedName>
    <definedName name="ZX_1">#REF!</definedName>
    <definedName name="ZX_10">#REF!</definedName>
    <definedName name="ZX_11">#REF!</definedName>
    <definedName name="ZX_12">#REF!</definedName>
    <definedName name="ZX_4">#REF!</definedName>
    <definedName name="zxc">'[194]WORKING SHEET SS#35'!$H$4</definedName>
    <definedName name="zxgsdfg" localSheetId="5" hidden="1">{"'Bill No. 7'!$A$1:$G$32"}</definedName>
    <definedName name="zxgsdfg" localSheetId="1" hidden="1">{"'Bill No. 7'!$A$1:$G$32"}</definedName>
    <definedName name="zxgsdfg" hidden="1">{"'Bill No. 7'!$A$1:$G$32"}</definedName>
    <definedName name="Zxx">#REF!</definedName>
    <definedName name="ZY">#REF!</definedName>
    <definedName name="ZY___0">#REF!</definedName>
    <definedName name="ZY___13">#REF!</definedName>
    <definedName name="ZY_1">#REF!</definedName>
    <definedName name="ZY_10">#REF!</definedName>
    <definedName name="ZY_11">#REF!</definedName>
    <definedName name="ZY_12">#REF!</definedName>
    <definedName name="ZY_4">#REF!</definedName>
    <definedName name="ZYX">#REF!</definedName>
    <definedName name="Zyy">#REF!</definedName>
    <definedName name="ZZ">#REF!</definedName>
    <definedName name="ZZZ">#REF!</definedName>
    <definedName name="γc">#REF!</definedName>
    <definedName name="γs">#REF!</definedName>
    <definedName name="τv">#REF!</definedName>
    <definedName name="もりた">#REF!</definedName>
    <definedName name="ㄱ">#REF!</definedName>
    <definedName name="가">#REF!</definedName>
    <definedName name="간접비1" localSheetId="5" hidden="1">{#N/A,#N/A,FALSE,"ENG'G(보호계전기)"}</definedName>
    <definedName name="간접비1" hidden="1">{#N/A,#N/A,FALSE,"ENG'G(보호계전기)"}</definedName>
    <definedName name="건축">#REF!</definedName>
    <definedName name="검토배경" localSheetId="5" hidden="1">{#N/A,#N/A,FALSE,"ENG'G(보호계전기)"}</definedName>
    <definedName name="검토배경" hidden="1">{#N/A,#N/A,FALSE,"ENG'G(보호계전기)"}</definedName>
    <definedName name="견적" localSheetId="5" hidden="1">{#N/A,#N/A,FALSE,"CCTV"}</definedName>
    <definedName name="견적" hidden="1">{#N/A,#N/A,FALSE,"CCTV"}</definedName>
    <definedName name="견적2" localSheetId="5" hidden="1">{#N/A,#N/A,FALSE,"CCTV"}</definedName>
    <definedName name="견적2" hidden="1">{#N/A,#N/A,FALSE,"CCTV"}</definedName>
    <definedName name="견적SHEET" localSheetId="5" hidden="1">{#N/A,#N/A,FALSE,"CCTV"}</definedName>
    <definedName name="견적SHEET" hidden="1">{#N/A,#N/A,FALSE,"CCTV"}</definedName>
    <definedName name="견적가"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기준">#REF!</definedName>
    <definedName name="견적비교">#REF!</definedName>
    <definedName name="견적조건" hidden="1">[194]산근!#REF!</definedName>
    <definedName name="계산" localSheetId="5" hidden="1">{#N/A,#N/A,FALSE,"ENG'G(보호계전기)"}</definedName>
    <definedName name="계산" hidden="1">{#N/A,#N/A,FALSE,"ENG'G(보호계전기)"}</definedName>
    <definedName name="계약고햔황2" hidden="1">#REF!</definedName>
    <definedName name="계약고현황2" hidden="1">#REF!</definedName>
    <definedName name="공일">#REF!</definedName>
    <definedName name="광양1소결합리화"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#REF!</definedName>
    <definedName name="기타">#REF!</definedName>
    <definedName name="ㄴㅇ">'[85]COA-17'!#REF!</definedName>
    <definedName name="나">#REF!</definedName>
    <definedName name="내선전공">#REF!</definedName>
    <definedName name="내역" localSheetId="5" hidden="1">{#N/A,#N/A,FALSE,"CCTV"}</definedName>
    <definedName name="내역" hidden="1">{#N/A,#N/A,FALSE,"CCTV"}</definedName>
    <definedName name="ㄷ">#REF!</definedName>
    <definedName name="ㄷㄹ1">#REF!</definedName>
    <definedName name="다">#REF!</definedName>
    <definedName name="당초계획" hidden="1">#REF!</definedName>
    <definedName name="대">#REF!</definedName>
    <definedName name="대비">#REF!</definedName>
    <definedName name="대비표">#REF!</definedName>
    <definedName name="도면외주" hidden="1">#REF!</definedName>
    <definedName name="도면용역비" hidden="1">#REF!</definedName>
    <definedName name="동영" localSheetId="5" hidden="1">{#N/A,#N/A,FALSE,"CCTV"}</definedName>
    <definedName name="동영" hidden="1">{#N/A,#N/A,FALSE,"CCTV"}</definedName>
    <definedName name="ㄹ">#REF!</definedName>
    <definedName name="라">#REF!</definedName>
    <definedName name="래그" localSheetId="5" hidden="1">{#N/A,#N/A,FALSE,"CCTV"}</definedName>
    <definedName name="래그" hidden="1">{#N/A,#N/A,FALSE,"CCTV"}</definedName>
    <definedName name="ㅁ">#REF!</definedName>
    <definedName name="ㅁ1">#REF!</definedName>
    <definedName name="ㅁ139">#REF!</definedName>
    <definedName name="ㅁ1390">#REF!</definedName>
    <definedName name="ㅁ561">#REF!</definedName>
    <definedName name="ㅁㅁ">'[85]COA-17'!#REF!</definedName>
    <definedName name="마">#REF!</definedName>
    <definedName name="명칭">#REF!</definedName>
    <definedName name="물가" localSheetId="5" hidden="1">{#N/A,#N/A,FALSE,"ENG'G(보호계전기)"}</definedName>
    <definedName name="물가" hidden="1">{#N/A,#N/A,FALSE,"ENG'G(보호계전기)"}</definedName>
    <definedName name="물가기준" localSheetId="5" hidden="1">{#N/A,#N/A,FALSE,"ENG'G(보호계전기)"}</definedName>
    <definedName name="물가기준" hidden="1">{#N/A,#N/A,FALSE,"ENG'G(보호계전기)"}</definedName>
    <definedName name="ㅂ" localSheetId="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바">#REF!</definedName>
    <definedName name="보충" hidden="1">#REF!</definedName>
    <definedName name="보호" localSheetId="5" hidden="1">{#N/A,#N/A,FALSE,"ENG'G(보호계전기)"}</definedName>
    <definedName name="보호" hidden="1">{#N/A,#N/A,FALSE,"ENG'G(보호계전기)"}</definedName>
    <definedName name="부대공사" hidden="1">#REF!</definedName>
    <definedName name="부함">#REF!</definedName>
    <definedName name="사">#REF!</definedName>
    <definedName name="사업계획수정" hidden="1">#REF!</definedName>
    <definedName name="사업부양식2" hidden="1">#REF!</definedName>
    <definedName name="산출" hidden="1">#REF!</definedName>
    <definedName name="새안" localSheetId="5" hidden="1">{#N/A,#N/A,FALSE,"TABLE"}</definedName>
    <definedName name="새안" hidden="1">{#N/A,#N/A,FALSE,"TABLE"}</definedName>
    <definedName name="샘풀카피" localSheetId="5" hidden="1">{#N/A,#N/A,FALSE,"CCTV"}</definedName>
    <definedName name="샘풀카피" hidden="1">{#N/A,#N/A,FALSE,"CCTV"}</definedName>
    <definedName name="샘플카피2" localSheetId="5" hidden="1">{#N/A,#N/A,FALSE,"CCTV"}</definedName>
    <definedName name="샘플카피2" hidden="1">{#N/A,#N/A,FALSE,"CCTV"}</definedName>
    <definedName name="샘플카피3" localSheetId="5" hidden="1">{#N/A,#N/A,FALSE,"CCTV"}</definedName>
    <definedName name="샘플카피3" hidden="1">{#N/A,#N/A,FALSE,"CCTV"}</definedName>
    <definedName name="설계속도">#REF!</definedName>
    <definedName name="손익계산서" hidden="1">#REF!</definedName>
    <definedName name="수당" hidden="1">#N/A</definedName>
    <definedName name="수량">#REF!</definedName>
    <definedName name="시장동향" localSheetId="5" hidden="1">{#N/A,#N/A,FALSE,"ENG'G(보호계전기)"}</definedName>
    <definedName name="시장동향" hidden="1">{#N/A,#N/A,FALSE,"ENG'G(보호계전기)"}</definedName>
    <definedName name="실적총괄1" hidden="1">#REF!</definedName>
    <definedName name="실총" hidden="1">#REF!</definedName>
    <definedName name="ㅇ191">#REF!</definedName>
    <definedName name="ㅇㄱ1">#REF!</definedName>
    <definedName name="아">#REF!</definedName>
    <definedName name="아스팔트">#REF!</definedName>
    <definedName name="원가">#REF!</definedName>
    <definedName name="원가1">#REF!</definedName>
    <definedName name="이름">#REF!</definedName>
    <definedName name="이월" hidden="1">#REF!</definedName>
    <definedName name="이이"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운" hidden="1">#REF!</definedName>
    <definedName name="전">#REF!</definedName>
    <definedName name="전계장금액" hidden="1">#REF!</definedName>
    <definedName name="전기계장">#REF!</definedName>
    <definedName name="전체">#REF!</definedName>
    <definedName name="제작비용" localSheetId="5" hidden="1">{#N/A,#N/A,FALSE,"ENG'G(보호계전기)"}</definedName>
    <definedName name="제작비용" hidden="1">{#N/A,#N/A,FALSE,"ENG'G(보호계전기)"}</definedName>
    <definedName name="조직표현장" hidden="1">'[195]간접비 총괄표'!$I$10:$I$1248</definedName>
    <definedName name="종합1" localSheetId="5"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연료">#REF!</definedName>
    <definedName name="주택사업본부">#REF!</definedName>
    <definedName name="중기">#REF!</definedName>
    <definedName name="지불_형태">#REF!</definedName>
    <definedName name="철구사업본부">#REF!</definedName>
    <definedName name="콘크리트">#REF!</definedName>
    <definedName name="토목">#REF!</definedName>
    <definedName name="토목지입재료비">#REF!</definedName>
    <definedName name="품셈내역2">#REF!</definedName>
    <definedName name="향후계획" localSheetId="5" hidden="1">{#N/A,#N/A,FALSE,"ENG'G(보호계전기)"}</definedName>
    <definedName name="향후계획" hidden="1">{#N/A,#N/A,FALSE,"ENG'G(보호계전기)"}</definedName>
    <definedName name="향후추진계획" localSheetId="5" hidden="1">{#N/A,#N/A,FALSE,"ENG'G(보호계전기)"}</definedName>
    <definedName name="향후추진계획" hidden="1">{#N/A,#N/A,FALSE,"ENG'G(보호계전기)"}</definedName>
    <definedName name="현기술분석" localSheetId="5" hidden="1">{#N/A,#N/A,FALSE,"ENG'G(보호계전기)"}</definedName>
    <definedName name="현기술분석" hidden="1">{#N/A,#N/A,FALSE,"ENG'G(보호계전기)"}</definedName>
    <definedName name="ㅐㅗㅅ">#REF!</definedName>
    <definedName name="ㅑ3081">#REF!</definedName>
    <definedName name="ㅜ26">#REF!</definedName>
    <definedName name="勝">#REF!</definedName>
    <definedName name="土建" localSheetId="5" hidden="1">{"'照明目录'!$A$1:$H$31"}</definedName>
    <definedName name="土建" hidden="1">{"'照明目录'!$A$1:$H$31"}</definedName>
    <definedName name="土建2" localSheetId="5" hidden="1">{"'照明目录'!$A$1:$H$31"}</definedName>
    <definedName name="土建2" hidden="1">{"'照明目录'!$A$1:$H$31"}</definedName>
    <definedName name="好听" localSheetId="5" hidden="1">{"'照明目录'!$A$1:$H$31"}</definedName>
    <definedName name="好听" hidden="1">{"'照明目录'!$A$1:$H$31"}</definedName>
    <definedName name="工事">#REF!</definedName>
    <definedName name="才了" localSheetId="5" hidden="1">{"'照明目录'!$A$1:$H$31"}</definedName>
    <definedName name="才了" hidden="1">{"'照明目录'!$A$1:$H$31"}</definedName>
    <definedName name="春" localSheetId="5" hidden="1">{"'照明目录'!$A$1:$H$31"}</definedName>
    <definedName name="春" hidden="1">{"'照明目录'!$A$1:$H$31"}</definedName>
    <definedName name="汇编" localSheetId="5" hidden="1">{"'照明目录'!$A$1:$H$31"}</definedName>
    <definedName name="汇编" hidden="1">{"'照明目录'!$A$1:$H$31"}</definedName>
    <definedName name="汇编1" localSheetId="5" hidden="1">{"'照明目录'!$A$1:$H$31"}</definedName>
    <definedName name="汇编1" hidden="1">{"'照明目录'!$A$1:$H$31"}</definedName>
    <definedName name="現法">#REF!</definedName>
    <definedName name="直轄">#REF!</definedName>
    <definedName name="石膏破碎及输送" localSheetId="5" hidden="1">{"'照明目录'!$A$1:$H$31"}</definedName>
    <definedName name="石膏破碎及输送" hidden="1">{"'照明目录'!$A$1:$H$31"}</definedName>
    <definedName name="自动空气开关" localSheetId="5" hidden="1">{"'照明目录'!$A$1:$H$31"}</definedName>
    <definedName name="自动空气开关" hidden="1">{"'照明目录'!$A$1:$H$31"}</definedName>
    <definedName name="阿嫂" localSheetId="5" hidden="1">{"'照明目录'!$A$1:$H$31"}</definedName>
    <definedName name="阿嫂" hidden="1">{"'照明目录'!$A$1:$H$31"}</definedName>
    <definedName name="阿瑟" localSheetId="5" hidden="1">{"'照明目录'!$A$1:$H$31"}</definedName>
    <definedName name="阿瑟" hidden="1">{"'照明目录'!$A$1:$H$31"}</definedName>
    <definedName name="随机配套" localSheetId="5" hidden="1">{"'照明目录'!$A$1:$H$31"}</definedName>
    <definedName name="随机配套" hidden="1">{"'照明目录'!$A$1:$H$31"}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8" i="9" l="1"/>
  <c r="E8" i="9" s="1"/>
  <c r="F8" i="9" s="1"/>
  <c r="C8" i="9"/>
  <c r="B8" i="9"/>
  <c r="E5" i="9"/>
  <c r="D5" i="9"/>
  <c r="F4" i="9"/>
  <c r="E4" i="9"/>
  <c r="D4" i="9"/>
  <c r="C4" i="9"/>
  <c r="B4" i="9"/>
  <c r="F3" i="9"/>
  <c r="E3" i="9"/>
  <c r="D3" i="9"/>
  <c r="C3" i="9"/>
  <c r="B3" i="9"/>
  <c r="F2" i="9"/>
  <c r="E2" i="9"/>
  <c r="E6" i="9" s="1"/>
  <c r="E7" i="9" s="1"/>
  <c r="D2" i="9"/>
  <c r="D6" i="9" s="1"/>
  <c r="D7" i="9" s="1"/>
  <c r="C2" i="9"/>
  <c r="B2" i="9"/>
  <c r="B6" i="9" s="1"/>
  <c r="B7" i="9" s="1"/>
  <c r="C6" i="9" l="1"/>
  <c r="C7" i="9" s="1"/>
  <c r="F5" i="9"/>
  <c r="F6" i="9" s="1"/>
  <c r="F7" i="9" s="1"/>
  <c r="Y78" i="6" l="1"/>
  <c r="X78" i="6"/>
  <c r="X76" i="6"/>
  <c r="W76" i="6"/>
  <c r="V76" i="6"/>
  <c r="U76" i="6"/>
  <c r="T76" i="6"/>
  <c r="S76" i="6"/>
  <c r="R76" i="6"/>
  <c r="Q76" i="6"/>
  <c r="P76" i="6"/>
  <c r="O76" i="6"/>
  <c r="N76" i="6"/>
  <c r="M76" i="6"/>
  <c r="K76" i="6"/>
  <c r="J76" i="6"/>
  <c r="I76" i="6"/>
  <c r="G76" i="6"/>
  <c r="F76" i="6"/>
  <c r="AD74" i="6"/>
  <c r="AD76" i="6" s="1"/>
  <c r="AC74" i="6"/>
  <c r="AC76" i="6" s="1"/>
  <c r="AB74" i="6"/>
  <c r="AB76" i="6" s="1"/>
  <c r="AA74" i="6"/>
  <c r="AA76" i="6" s="1"/>
  <c r="Z74" i="6"/>
  <c r="Z76" i="6" s="1"/>
  <c r="Y74" i="6"/>
  <c r="Y76" i="6" s="1"/>
  <c r="Y77" i="6" s="1"/>
  <c r="X74" i="6"/>
  <c r="AB73" i="6"/>
  <c r="AA73" i="6"/>
  <c r="M73" i="6"/>
  <c r="L73" i="6"/>
  <c r="K73" i="6"/>
  <c r="I73" i="6"/>
  <c r="H73" i="6"/>
  <c r="D73" i="6"/>
  <c r="AB72" i="6"/>
  <c r="AA72" i="6"/>
  <c r="X72" i="6"/>
  <c r="W72" i="6"/>
  <c r="L72" i="6"/>
  <c r="L76" i="6" s="1"/>
  <c r="H72" i="6"/>
  <c r="H76" i="6" s="1"/>
  <c r="E72" i="6"/>
  <c r="E76" i="6" s="1"/>
  <c r="D72" i="6"/>
  <c r="D76" i="6" s="1"/>
  <c r="X71" i="6"/>
  <c r="X77" i="6" s="1"/>
  <c r="W71" i="6"/>
  <c r="W77" i="6" s="1"/>
  <c r="U71" i="6"/>
  <c r="U77" i="6" s="1"/>
  <c r="Z69" i="6"/>
  <c r="Y69" i="6"/>
  <c r="X69" i="6"/>
  <c r="W69" i="6"/>
  <c r="W78" i="6" s="1"/>
  <c r="AC68" i="6"/>
  <c r="AB68" i="6"/>
  <c r="AA68" i="6"/>
  <c r="AA69" i="6" s="1"/>
  <c r="Z68" i="6"/>
  <c r="Y68" i="6"/>
  <c r="X68" i="6"/>
  <c r="W68" i="6"/>
  <c r="V68" i="6"/>
  <c r="U68" i="6"/>
  <c r="T68" i="6"/>
  <c r="R68" i="6"/>
  <c r="Q68" i="6"/>
  <c r="P68" i="6"/>
  <c r="O68" i="6"/>
  <c r="M68" i="6"/>
  <c r="L68" i="6"/>
  <c r="K68" i="6"/>
  <c r="J68" i="6"/>
  <c r="I68" i="6"/>
  <c r="H68" i="6"/>
  <c r="G68" i="6"/>
  <c r="F68" i="6"/>
  <c r="E68" i="6"/>
  <c r="E71" i="6" s="1"/>
  <c r="C68" i="6"/>
  <c r="B68" i="6"/>
  <c r="S67" i="6"/>
  <c r="N67" i="6"/>
  <c r="S66" i="6"/>
  <c r="N66" i="6"/>
  <c r="S65" i="6"/>
  <c r="S63" i="6"/>
  <c r="N63" i="6"/>
  <c r="S62" i="6"/>
  <c r="N62" i="6"/>
  <c r="H62" i="6"/>
  <c r="D62" i="6"/>
  <c r="S61" i="6"/>
  <c r="N61" i="6"/>
  <c r="D61" i="6"/>
  <c r="S60" i="6"/>
  <c r="S68" i="6" s="1"/>
  <c r="N60" i="6"/>
  <c r="N68" i="6" s="1"/>
  <c r="D60" i="6"/>
  <c r="D68" i="6" s="1"/>
  <c r="AC59" i="6"/>
  <c r="AB59" i="6"/>
  <c r="AA59" i="6"/>
  <c r="Z59" i="6"/>
  <c r="Y59" i="6"/>
  <c r="X59" i="6"/>
  <c r="W59" i="6"/>
  <c r="V59" i="6"/>
  <c r="U59" i="6"/>
  <c r="T59" i="6"/>
  <c r="R59" i="6"/>
  <c r="Q59" i="6"/>
  <c r="P59" i="6"/>
  <c r="O59" i="6"/>
  <c r="M59" i="6"/>
  <c r="L59" i="6"/>
  <c r="K59" i="6"/>
  <c r="J59" i="6"/>
  <c r="I59" i="6"/>
  <c r="H59" i="6"/>
  <c r="G59" i="6"/>
  <c r="F59" i="6"/>
  <c r="E59" i="6"/>
  <c r="C59" i="6"/>
  <c r="B59" i="6"/>
  <c r="S58" i="6"/>
  <c r="N58" i="6"/>
  <c r="D58" i="6"/>
  <c r="S57" i="6"/>
  <c r="N57" i="6"/>
  <c r="D57" i="6"/>
  <c r="S56" i="6"/>
  <c r="N56" i="6"/>
  <c r="H56" i="6"/>
  <c r="D56" i="6"/>
  <c r="S55" i="6"/>
  <c r="N55" i="6"/>
  <c r="S54" i="6"/>
  <c r="N54" i="6"/>
  <c r="S53" i="6"/>
  <c r="N53" i="6"/>
  <c r="N59" i="6" s="1"/>
  <c r="D53" i="6"/>
  <c r="S52" i="6"/>
  <c r="S59" i="6" s="1"/>
  <c r="N52" i="6"/>
  <c r="D52" i="6"/>
  <c r="S51" i="6"/>
  <c r="N51" i="6"/>
  <c r="D51" i="6"/>
  <c r="D59" i="6" s="1"/>
  <c r="AC50" i="6"/>
  <c r="AB50" i="6"/>
  <c r="AA50" i="6"/>
  <c r="Z50" i="6"/>
  <c r="Y50" i="6"/>
  <c r="X50" i="6"/>
  <c r="W50" i="6"/>
  <c r="V50" i="6"/>
  <c r="U50" i="6"/>
  <c r="T50" i="6"/>
  <c r="R50" i="6"/>
  <c r="Q50" i="6"/>
  <c r="P50" i="6"/>
  <c r="O50" i="6"/>
  <c r="M50" i="6"/>
  <c r="L50" i="6"/>
  <c r="J50" i="6"/>
  <c r="G50" i="6"/>
  <c r="F50" i="6"/>
  <c r="E50" i="6"/>
  <c r="C50" i="6"/>
  <c r="B50" i="6"/>
  <c r="S49" i="6"/>
  <c r="N49" i="6"/>
  <c r="D49" i="6"/>
  <c r="S48" i="6"/>
  <c r="N48" i="6"/>
  <c r="D48" i="6"/>
  <c r="S47" i="6"/>
  <c r="N47" i="6"/>
  <c r="D47" i="6"/>
  <c r="S46" i="6"/>
  <c r="N46" i="6"/>
  <c r="S45" i="6"/>
  <c r="N45" i="6"/>
  <c r="H45" i="6"/>
  <c r="D45" i="6"/>
  <c r="S44" i="6"/>
  <c r="N44" i="6"/>
  <c r="D44" i="6"/>
  <c r="S43" i="6"/>
  <c r="N43" i="6"/>
  <c r="S42" i="6"/>
  <c r="N42" i="6"/>
  <c r="D42" i="6"/>
  <c r="S41" i="6"/>
  <c r="N41" i="6"/>
  <c r="D41" i="6"/>
  <c r="S40" i="6"/>
  <c r="N40" i="6"/>
  <c r="S39" i="6"/>
  <c r="N39" i="6"/>
  <c r="D39" i="6"/>
  <c r="D50" i="6" s="1"/>
  <c r="S38" i="6"/>
  <c r="S50" i="6" s="1"/>
  <c r="N38" i="6"/>
  <c r="D38" i="6"/>
  <c r="V37" i="6"/>
  <c r="S37" i="6"/>
  <c r="K37" i="6"/>
  <c r="K50" i="6" s="1"/>
  <c r="I37" i="6"/>
  <c r="I50" i="6" s="1"/>
  <c r="H37" i="6"/>
  <c r="H50" i="6" s="1"/>
  <c r="D37" i="6"/>
  <c r="AC36" i="6"/>
  <c r="AB36" i="6"/>
  <c r="AA36" i="6"/>
  <c r="Z36" i="6"/>
  <c r="Y36" i="6"/>
  <c r="X36" i="6"/>
  <c r="W36" i="6"/>
  <c r="V36" i="6"/>
  <c r="U36" i="6"/>
  <c r="T36" i="6"/>
  <c r="R36" i="6"/>
  <c r="Q36" i="6"/>
  <c r="P36" i="6"/>
  <c r="O36" i="6"/>
  <c r="M36" i="6"/>
  <c r="L36" i="6"/>
  <c r="J36" i="6"/>
  <c r="G36" i="6"/>
  <c r="E36" i="6"/>
  <c r="C36" i="6"/>
  <c r="B36" i="6"/>
  <c r="S35" i="6"/>
  <c r="N35" i="6"/>
  <c r="D35" i="6"/>
  <c r="S34" i="6"/>
  <c r="N34" i="6"/>
  <c r="D34" i="6"/>
  <c r="S33" i="6"/>
  <c r="N33" i="6"/>
  <c r="D33" i="6"/>
  <c r="S32" i="6"/>
  <c r="N32" i="6"/>
  <c r="S31" i="6"/>
  <c r="N31" i="6"/>
  <c r="H31" i="6"/>
  <c r="D31" i="6"/>
  <c r="S30" i="6"/>
  <c r="N30" i="6"/>
  <c r="D30" i="6"/>
  <c r="S29" i="6"/>
  <c r="N29" i="6"/>
  <c r="S28" i="6"/>
  <c r="N28" i="6"/>
  <c r="D28" i="6"/>
  <c r="S27" i="6"/>
  <c r="N27" i="6"/>
  <c r="H27" i="6"/>
  <c r="D27" i="6"/>
  <c r="S26" i="6"/>
  <c r="S36" i="6" s="1"/>
  <c r="N26" i="6"/>
  <c r="D26" i="6"/>
  <c r="S25" i="6"/>
  <c r="N25" i="6"/>
  <c r="S24" i="6"/>
  <c r="N24" i="6"/>
  <c r="D24" i="6"/>
  <c r="S23" i="6"/>
  <c r="N23" i="6"/>
  <c r="S22" i="6"/>
  <c r="N22" i="6"/>
  <c r="D22" i="6"/>
  <c r="S21" i="6"/>
  <c r="N21" i="6"/>
  <c r="F21" i="6"/>
  <c r="F36" i="6" s="1"/>
  <c r="V20" i="6"/>
  <c r="S20" i="6"/>
  <c r="K20" i="6"/>
  <c r="K36" i="6" s="1"/>
  <c r="I20" i="6"/>
  <c r="I36" i="6" s="1"/>
  <c r="H20" i="6"/>
  <c r="H36" i="6" s="1"/>
  <c r="D20" i="6"/>
  <c r="D36" i="6" s="1"/>
  <c r="AC19" i="6"/>
  <c r="AB19" i="6"/>
  <c r="AB69" i="6" s="1"/>
  <c r="AA19" i="6"/>
  <c r="Z19" i="6"/>
  <c r="Y19" i="6"/>
  <c r="X19" i="6"/>
  <c r="W19" i="6"/>
  <c r="U19" i="6"/>
  <c r="U69" i="6" s="1"/>
  <c r="U78" i="6" s="1"/>
  <c r="R19" i="6"/>
  <c r="R71" i="6" s="1"/>
  <c r="R77" i="6" s="1"/>
  <c r="Q19" i="6"/>
  <c r="Q71" i="6" s="1"/>
  <c r="Q77" i="6" s="1"/>
  <c r="P19" i="6"/>
  <c r="P69" i="6" s="1"/>
  <c r="P78" i="6" s="1"/>
  <c r="O19" i="6"/>
  <c r="O69" i="6" s="1"/>
  <c r="O78" i="6" s="1"/>
  <c r="M19" i="6"/>
  <c r="M69" i="6" s="1"/>
  <c r="L19" i="6"/>
  <c r="L69" i="6" s="1"/>
  <c r="K19" i="6"/>
  <c r="K71" i="6" s="1"/>
  <c r="K77" i="6" s="1"/>
  <c r="J19" i="6"/>
  <c r="J71" i="6" s="1"/>
  <c r="J77" i="6" s="1"/>
  <c r="I19" i="6"/>
  <c r="H19" i="6"/>
  <c r="G19" i="6"/>
  <c r="G71" i="6" s="1"/>
  <c r="F19" i="6"/>
  <c r="F71" i="6" s="1"/>
  <c r="E19" i="6"/>
  <c r="C19" i="6"/>
  <c r="B19" i="6"/>
  <c r="S18" i="6"/>
  <c r="N18" i="6"/>
  <c r="D17" i="6"/>
  <c r="S16" i="6"/>
  <c r="N16" i="6"/>
  <c r="S15" i="6"/>
  <c r="N15" i="6"/>
  <c r="S14" i="6"/>
  <c r="N14" i="6"/>
  <c r="S13" i="6"/>
  <c r="N13" i="6"/>
  <c r="D13" i="6"/>
  <c r="S12" i="6"/>
  <c r="N12" i="6"/>
  <c r="D12" i="6"/>
  <c r="S11" i="6"/>
  <c r="N11" i="6"/>
  <c r="D11" i="6"/>
  <c r="S10" i="6"/>
  <c r="N10" i="6"/>
  <c r="D10" i="6"/>
  <c r="S9" i="6"/>
  <c r="N9" i="6"/>
  <c r="D9" i="6"/>
  <c r="AD8" i="6"/>
  <c r="T8" i="6"/>
  <c r="S8" i="6"/>
  <c r="N8" i="6"/>
  <c r="J8" i="6"/>
  <c r="I8" i="6"/>
  <c r="D8" i="6"/>
  <c r="AD7" i="6"/>
  <c r="S7" i="6"/>
  <c r="N7" i="6"/>
  <c r="AD6" i="6"/>
  <c r="S6" i="6"/>
  <c r="N6" i="6"/>
  <c r="D6" i="6"/>
  <c r="V5" i="6"/>
  <c r="S5" i="6"/>
  <c r="S19" i="6" s="1"/>
  <c r="K5" i="6"/>
  <c r="N5" i="6" s="1"/>
  <c r="I5" i="6"/>
  <c r="H5" i="6"/>
  <c r="D5" i="6"/>
  <c r="D19" i="6" s="1"/>
  <c r="K18" i="1"/>
  <c r="H18" i="1"/>
  <c r="Y22" i="2"/>
  <c r="Y21" i="2"/>
  <c r="Y20" i="2"/>
  <c r="X22" i="2"/>
  <c r="X21" i="2"/>
  <c r="X20" i="2"/>
  <c r="J64" i="1"/>
  <c r="J52" i="1"/>
  <c r="J51" i="1"/>
  <c r="E79" i="1"/>
  <c r="K83" i="1"/>
  <c r="D71" i="6" l="1"/>
  <c r="D77" i="6" s="1"/>
  <c r="E77" i="6"/>
  <c r="N19" i="6"/>
  <c r="S71" i="6"/>
  <c r="S77" i="6" s="1"/>
  <c r="H71" i="6"/>
  <c r="H77" i="6" s="1"/>
  <c r="D69" i="6"/>
  <c r="D78" i="6" s="1"/>
  <c r="I69" i="6"/>
  <c r="AA78" i="6"/>
  <c r="AA79" i="6" s="1"/>
  <c r="AB78" i="6"/>
  <c r="AB79" i="6" s="1"/>
  <c r="E69" i="6"/>
  <c r="E78" i="6" s="1"/>
  <c r="F69" i="6"/>
  <c r="N20" i="6"/>
  <c r="N36" i="6" s="1"/>
  <c r="G69" i="6"/>
  <c r="I71" i="6"/>
  <c r="I77" i="6" s="1"/>
  <c r="H69" i="6"/>
  <c r="H78" i="6" s="1"/>
  <c r="J69" i="6"/>
  <c r="K69" i="6"/>
  <c r="T19" i="6"/>
  <c r="T71" i="6" s="1"/>
  <c r="T77" i="6" s="1"/>
  <c r="L71" i="6"/>
  <c r="L77" i="6" s="1"/>
  <c r="M71" i="6"/>
  <c r="M77" i="6" s="1"/>
  <c r="Q69" i="6"/>
  <c r="Q78" i="6" s="1"/>
  <c r="R69" i="6"/>
  <c r="R78" i="6" s="1"/>
  <c r="O71" i="6"/>
  <c r="O77" i="6" s="1"/>
  <c r="N37" i="6"/>
  <c r="N50" i="6" s="1"/>
  <c r="S69" i="6"/>
  <c r="S78" i="6" s="1"/>
  <c r="P71" i="6"/>
  <c r="P77" i="6" s="1"/>
  <c r="V19" i="6"/>
  <c r="V71" i="6" s="1"/>
  <c r="V77" i="6" s="1"/>
  <c r="L63" i="1"/>
  <c r="P63" i="1" s="1"/>
  <c r="K53" i="1"/>
  <c r="R53" i="1" s="1"/>
  <c r="N2" i="4"/>
  <c r="B3" i="4"/>
  <c r="D3" i="4"/>
  <c r="E3" i="4"/>
  <c r="G3" i="4"/>
  <c r="I3" i="4"/>
  <c r="J3" i="4"/>
  <c r="K3" i="4"/>
  <c r="N3" i="4"/>
  <c r="O3" i="4"/>
  <c r="P3" i="4"/>
  <c r="Q3" i="4"/>
  <c r="B4" i="4"/>
  <c r="D4" i="4"/>
  <c r="E4" i="4"/>
  <c r="M4" i="4"/>
  <c r="N4" i="4"/>
  <c r="O4" i="4"/>
  <c r="P4" i="4"/>
  <c r="Q4" i="4"/>
  <c r="B5" i="4"/>
  <c r="D5" i="4"/>
  <c r="N5" i="4" s="1"/>
  <c r="N20" i="4" s="1"/>
  <c r="N22" i="4" s="1"/>
  <c r="S5" i="4"/>
  <c r="T5" i="4"/>
  <c r="B6" i="4"/>
  <c r="D6" i="4"/>
  <c r="N6" i="4"/>
  <c r="O6" i="4"/>
  <c r="P6" i="4"/>
  <c r="Q6" i="4"/>
  <c r="S6" i="4"/>
  <c r="T6" i="4"/>
  <c r="B7" i="4"/>
  <c r="D7" i="4"/>
  <c r="N7" i="4"/>
  <c r="O7" i="4"/>
  <c r="P7" i="4"/>
  <c r="Q7" i="4"/>
  <c r="S7" i="4"/>
  <c r="T7" i="4"/>
  <c r="B8" i="4"/>
  <c r="D8" i="4"/>
  <c r="O8" i="4" s="1"/>
  <c r="N8" i="4"/>
  <c r="P8" i="4"/>
  <c r="Q8" i="4"/>
  <c r="S8" i="4"/>
  <c r="T8" i="4"/>
  <c r="B9" i="4"/>
  <c r="D9" i="4"/>
  <c r="N9" i="4"/>
  <c r="O9" i="4"/>
  <c r="P9" i="4"/>
  <c r="Q9" i="4"/>
  <c r="S9" i="4"/>
  <c r="T9" i="4"/>
  <c r="B10" i="4"/>
  <c r="D10" i="4"/>
  <c r="N10" i="4"/>
  <c r="O10" i="4"/>
  <c r="P10" i="4"/>
  <c r="Q10" i="4"/>
  <c r="S10" i="4"/>
  <c r="T10" i="4"/>
  <c r="B11" i="4"/>
  <c r="D11" i="4"/>
  <c r="N11" i="4"/>
  <c r="O11" i="4"/>
  <c r="P11" i="4"/>
  <c r="Q11" i="4"/>
  <c r="S11" i="4"/>
  <c r="T11" i="4"/>
  <c r="B12" i="4"/>
  <c r="D12" i="4"/>
  <c r="N12" i="4"/>
  <c r="O12" i="4"/>
  <c r="P12" i="4"/>
  <c r="Q12" i="4"/>
  <c r="S12" i="4"/>
  <c r="T12" i="4"/>
  <c r="B13" i="4"/>
  <c r="D13" i="4"/>
  <c r="P13" i="4" s="1"/>
  <c r="N13" i="4"/>
  <c r="O13" i="4"/>
  <c r="B14" i="4"/>
  <c r="D14" i="4"/>
  <c r="N14" i="4"/>
  <c r="O14" i="4"/>
  <c r="P14" i="4"/>
  <c r="Q14" i="4"/>
  <c r="B15" i="4"/>
  <c r="D15" i="4"/>
  <c r="N15" i="4"/>
  <c r="O15" i="4"/>
  <c r="P15" i="4"/>
  <c r="Q15" i="4"/>
  <c r="B16" i="4"/>
  <c r="D16" i="4"/>
  <c r="N16" i="4"/>
  <c r="O16" i="4"/>
  <c r="P16" i="4"/>
  <c r="Q16" i="4"/>
  <c r="D17" i="4"/>
  <c r="O17" i="4" s="1"/>
  <c r="N17" i="4"/>
  <c r="D18" i="4"/>
  <c r="N18" i="4"/>
  <c r="O18" i="4"/>
  <c r="P18" i="4"/>
  <c r="Q18" i="4"/>
  <c r="D19" i="4"/>
  <c r="N19" i="4"/>
  <c r="O19" i="4"/>
  <c r="P19" i="4"/>
  <c r="Q19" i="4"/>
  <c r="F20" i="4"/>
  <c r="G20" i="4"/>
  <c r="H20" i="4"/>
  <c r="I20" i="4"/>
  <c r="J20" i="4"/>
  <c r="K20" i="4"/>
  <c r="L20" i="4"/>
  <c r="M20" i="4"/>
  <c r="N21" i="4"/>
  <c r="R62" i="1"/>
  <c r="L62" i="1"/>
  <c r="P62" i="1" s="1"/>
  <c r="R61" i="1"/>
  <c r="L61" i="1"/>
  <c r="P61" i="1" s="1"/>
  <c r="R59" i="1"/>
  <c r="L59" i="1"/>
  <c r="P59" i="1" s="1"/>
  <c r="R60" i="1"/>
  <c r="L60" i="1"/>
  <c r="P60" i="1" s="1"/>
  <c r="R54" i="1"/>
  <c r="L54" i="1"/>
  <c r="P54" i="1" s="1"/>
  <c r="R52" i="1"/>
  <c r="L52" i="1"/>
  <c r="P52" i="1" s="1"/>
  <c r="R51" i="1"/>
  <c r="L51" i="1"/>
  <c r="P51" i="1" s="1"/>
  <c r="R50" i="1"/>
  <c r="L50" i="1"/>
  <c r="P50" i="1" s="1"/>
  <c r="G27" i="1"/>
  <c r="K17" i="1"/>
  <c r="U51" i="1"/>
  <c r="D21" i="2"/>
  <c r="C21" i="2"/>
  <c r="E21" i="2" s="1"/>
  <c r="C4" i="2"/>
  <c r="C3" i="2"/>
  <c r="C2" i="2"/>
  <c r="C6" i="2" s="1"/>
  <c r="C5" i="2"/>
  <c r="X4" i="2"/>
  <c r="V69" i="6" l="1"/>
  <c r="V78" i="6" s="1"/>
  <c r="N71" i="6"/>
  <c r="N77" i="6" s="1"/>
  <c r="N69" i="6"/>
  <c r="N78" i="6" s="1"/>
  <c r="T69" i="6"/>
  <c r="T78" i="6" s="1"/>
  <c r="L53" i="1"/>
  <c r="P53" i="1" s="1"/>
  <c r="Q5" i="4"/>
  <c r="Q20" i="4" s="1"/>
  <c r="Q22" i="4" s="1"/>
  <c r="Q17" i="4"/>
  <c r="P5" i="4"/>
  <c r="P20" i="4" s="1"/>
  <c r="P22" i="4" s="1"/>
  <c r="P17" i="4"/>
  <c r="Q13" i="4"/>
  <c r="O5" i="4"/>
  <c r="O20" i="4" s="1"/>
  <c r="O22" i="4" s="1"/>
  <c r="Z20" i="2"/>
  <c r="Z21" i="2"/>
  <c r="N27" i="1"/>
  <c r="Y23" i="2"/>
  <c r="K64" i="1" l="1"/>
  <c r="D20" i="2" s="1"/>
  <c r="D22" i="2" s="1"/>
  <c r="N35" i="1"/>
  <c r="N34" i="1"/>
  <c r="K94" i="1"/>
  <c r="K85" i="1"/>
  <c r="R58" i="1"/>
  <c r="L58" i="1"/>
  <c r="J57" i="1"/>
  <c r="C20" i="2" s="1"/>
  <c r="K56" i="1"/>
  <c r="V54" i="1"/>
  <c r="R49" i="1"/>
  <c r="L49" i="1"/>
  <c r="P49" i="1" s="1"/>
  <c r="N41" i="1"/>
  <c r="N40" i="1"/>
  <c r="N39" i="1"/>
  <c r="N38" i="1"/>
  <c r="N37" i="1"/>
  <c r="N36" i="1"/>
  <c r="N33" i="1"/>
  <c r="N32" i="1"/>
  <c r="N31" i="1"/>
  <c r="N30" i="1"/>
  <c r="N29" i="1"/>
  <c r="N28" i="1"/>
  <c r="G26" i="1"/>
  <c r="N25" i="1"/>
  <c r="N24" i="1"/>
  <c r="G23" i="1"/>
  <c r="H19" i="1"/>
  <c r="K16" i="1"/>
  <c r="K15" i="1"/>
  <c r="K14" i="1"/>
  <c r="K13" i="1"/>
  <c r="K12" i="1"/>
  <c r="L55" i="1" l="1"/>
  <c r="P55" i="1" s="1"/>
  <c r="Z22" i="2"/>
  <c r="Z23" i="2" s="1"/>
  <c r="R55" i="1"/>
  <c r="N26" i="1"/>
  <c r="X3" i="2"/>
  <c r="K19" i="1"/>
  <c r="G43" i="1"/>
  <c r="X2" i="2"/>
  <c r="X6" i="2" s="1"/>
  <c r="C22" i="2"/>
  <c r="E20" i="2"/>
  <c r="E22" i="2" s="1"/>
  <c r="R57" i="1"/>
  <c r="U59" i="1"/>
  <c r="K65" i="1"/>
  <c r="J56" i="1"/>
  <c r="E93" i="1"/>
  <c r="N23" i="1"/>
  <c r="L57" i="1"/>
  <c r="L64" i="1" s="1"/>
  <c r="X23" i="2" l="1"/>
  <c r="N43" i="1"/>
  <c r="J65" i="1"/>
  <c r="L56" i="1"/>
  <c r="P56" i="1"/>
  <c r="P64" i="1"/>
  <c r="L65" i="1" l="1"/>
  <c r="P65" i="1"/>
  <c r="K89" i="1" s="1"/>
  <c r="H93" i="1" l="1"/>
  <c r="K93" i="1"/>
  <c r="K9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 LAPTOP</author>
    <author>tc={AA0A5579-A197-4DC1-8252-D05E4D996630}</author>
    <author>tc={40645590-F5CA-452C-A6BD-FEC080DA72B5}</author>
    <author>tc={35ECF531-6AA7-4833-995F-57B7AF5A12A8}</author>
  </authors>
  <commentList>
    <comment ref="K5" authorId="0" shapeId="0" xr:uid="{FB29DCC5-C59C-4DA6-879A-0941A0AF37C4}">
      <text>
        <r>
          <rPr>
            <b/>
            <sz val="9"/>
            <color indexed="81"/>
            <rFont val="Tahoma"/>
            <family val="2"/>
          </rPr>
          <t>DELL LAPTOP:</t>
        </r>
        <r>
          <rPr>
            <sz val="9"/>
            <color indexed="81"/>
            <rFont val="Tahoma"/>
            <family val="2"/>
          </rPr>
          <t xml:space="preserve">
Re Cheked Qty</t>
        </r>
      </text>
    </comment>
    <comment ref="I8" authorId="0" shapeId="0" xr:uid="{10B4CF54-EB95-470B-8C31-CE8E0959A8F2}">
      <text>
        <r>
          <rPr>
            <b/>
            <sz val="9"/>
            <color indexed="81"/>
            <rFont val="Tahoma"/>
            <family val="2"/>
          </rPr>
          <t>DELL LAPTOP:</t>
        </r>
        <r>
          <rPr>
            <sz val="9"/>
            <color indexed="81"/>
            <rFont val="Tahoma"/>
            <family val="2"/>
          </rPr>
          <t xml:space="preserve">
Not Mention in certificate(PG 106)</t>
        </r>
      </text>
    </comment>
    <comment ref="J8" authorId="0" shapeId="0" xr:uid="{76391BF5-BD3E-4FDD-B412-E505DF08FA5F}">
      <text>
        <r>
          <rPr>
            <b/>
            <sz val="9"/>
            <color indexed="81"/>
            <rFont val="Tahoma"/>
            <family val="2"/>
          </rPr>
          <t>DELL LAPTOP:</t>
        </r>
        <r>
          <rPr>
            <sz val="9"/>
            <color indexed="81"/>
            <rFont val="Tahoma"/>
            <family val="2"/>
          </rPr>
          <t xml:space="preserve">
Not Mention in certificate(PG 106)</t>
        </r>
      </text>
    </comment>
    <comment ref="H11" authorId="0" shapeId="0" xr:uid="{D76CD3B8-1106-4551-802F-472BB7786F7F}">
      <text>
        <r>
          <rPr>
            <b/>
            <sz val="9"/>
            <color indexed="81"/>
            <rFont val="Tahoma"/>
            <family val="2"/>
          </rPr>
          <t>DELL LAPTOP:</t>
        </r>
        <r>
          <rPr>
            <sz val="9"/>
            <color indexed="81"/>
            <rFont val="Tahoma"/>
            <family val="2"/>
          </rPr>
          <t xml:space="preserve">
Not Matched Qty PG 108</t>
        </r>
      </text>
    </comment>
    <comment ref="J11" authorId="1" shapeId="0" xr:uid="{AA0A5579-A197-4DC1-8252-D05E4D996630}">
      <text>
        <t>[Threaded comment]
Your version of Excel allows you to read this threaded comment; however, any edits to it will get removed if the file is opened in a newer version of Excel. Learn more: https://go.microsoft.com/fwlink/?linkid=870924
Comment:
    PAVER BLOCK</t>
      </text>
    </comment>
    <comment ref="D21" authorId="0" shapeId="0" xr:uid="{305F7180-C81A-4D37-879D-4A5DAD580B21}">
      <text>
        <r>
          <rPr>
            <b/>
            <sz val="9"/>
            <color indexed="81"/>
            <rFont val="Tahoma"/>
            <family val="2"/>
          </rPr>
          <t>DELL LAPTOP:</t>
        </r>
        <r>
          <rPr>
            <sz val="9"/>
            <color indexed="81"/>
            <rFont val="Tahoma"/>
            <family val="2"/>
          </rPr>
          <t xml:space="preserve">
Not Matched Qty Sheet</t>
        </r>
      </text>
    </comment>
    <comment ref="F21" authorId="0" shapeId="0" xr:uid="{03FBEBEB-05EB-421D-AE9D-3F7160B7753B}">
      <text>
        <r>
          <rPr>
            <b/>
            <sz val="9"/>
            <color indexed="81"/>
            <rFont val="Tahoma"/>
            <family val="2"/>
          </rPr>
          <t>DELL LAPTOP:</t>
        </r>
        <r>
          <rPr>
            <sz val="9"/>
            <color indexed="81"/>
            <rFont val="Tahoma"/>
            <family val="2"/>
          </rPr>
          <t xml:space="preserve">
Not Matched Qty sheet</t>
        </r>
      </text>
    </comment>
    <comment ref="J25" authorId="2" shapeId="0" xr:uid="{40645590-F5CA-452C-A6BD-FEC080DA72B5}">
      <text>
        <t>[Threaded comment]
Your version of Excel allows you to read this threaded comment; however, any edits to it will get removed if the file is opened in a newer version of Excel. Learn more: https://go.microsoft.com/fwlink/?linkid=870924
Comment:
    PAVER BLOCK</t>
      </text>
    </comment>
    <comment ref="E27" authorId="0" shapeId="0" xr:uid="{FD695364-7C7D-4EE3-968F-87BB289FB987}">
      <text>
        <r>
          <rPr>
            <b/>
            <sz val="9"/>
            <color indexed="81"/>
            <rFont val="Tahoma"/>
            <family val="2"/>
          </rPr>
          <t>DELL LAPTOP:</t>
        </r>
        <r>
          <rPr>
            <sz val="9"/>
            <color indexed="81"/>
            <rFont val="Tahoma"/>
            <family val="2"/>
          </rPr>
          <t xml:space="preserve">
Amit Sir File Missing Qty</t>
        </r>
      </text>
    </comment>
    <comment ref="E28" authorId="0" shapeId="0" xr:uid="{FAA272B2-34F8-4E28-B1A5-451FB966DF62}">
      <text>
        <r>
          <rPr>
            <b/>
            <sz val="9"/>
            <color indexed="81"/>
            <rFont val="Tahoma"/>
            <family val="2"/>
          </rPr>
          <t>DELL LAPTOP:</t>
        </r>
        <r>
          <rPr>
            <sz val="9"/>
            <color indexed="81"/>
            <rFont val="Tahoma"/>
            <family val="2"/>
          </rPr>
          <t xml:space="preserve">
Amit sir sheet Qty missing.PG-114</t>
        </r>
      </text>
    </comment>
    <comment ref="J40" authorId="3" shapeId="0" xr:uid="{35ECF531-6AA7-4833-995F-57B7AF5A12A8}">
      <text>
        <t>[Threaded comment]
Your version of Excel allows you to read this threaded comment; however, any edits to it will get removed if the file is opened in a newer version of Excel. Learn more: https://go.microsoft.com/fwlink/?linkid=870924
Comment:
    PAVER BLOCK</t>
      </text>
    </comment>
    <comment ref="E41" authorId="0" shapeId="0" xr:uid="{E2BED551-3051-4896-B23E-7433B8F2F824}">
      <text>
        <r>
          <rPr>
            <b/>
            <sz val="9"/>
            <color indexed="81"/>
            <rFont val="Tahoma"/>
            <family val="2"/>
          </rPr>
          <t>DELL LAPTOP:</t>
        </r>
        <r>
          <rPr>
            <sz val="9"/>
            <color indexed="81"/>
            <rFont val="Tahoma"/>
            <family val="2"/>
          </rPr>
          <t xml:space="preserve">
Amit Sir file Qty missing</t>
        </r>
      </text>
    </comment>
    <comment ref="E42" authorId="0" shapeId="0" xr:uid="{46348D66-A680-4B93-9F56-CF7F8AF4A063}">
      <text>
        <r>
          <rPr>
            <b/>
            <sz val="9"/>
            <color indexed="81"/>
            <rFont val="Tahoma"/>
            <family val="2"/>
          </rPr>
          <t>DELL LAPTOP:</t>
        </r>
        <r>
          <rPr>
            <sz val="9"/>
            <color indexed="81"/>
            <rFont val="Tahoma"/>
            <family val="2"/>
          </rPr>
          <t xml:space="preserve">
Amit Sir file Qty missing</t>
        </r>
      </text>
    </comment>
  </commentList>
</comments>
</file>

<file path=xl/sharedStrings.xml><?xml version="1.0" encoding="utf-8"?>
<sst xmlns="http://schemas.openxmlformats.org/spreadsheetml/2006/main" count="977" uniqueCount="571">
  <si>
    <t>QUALIFICATION INFORMATION</t>
  </si>
  <si>
    <t>FOR INDIVIDUAL BIDDERS</t>
  </si>
  <si>
    <t>BROADWAY LINKS PRIVATE LIMITED</t>
  </si>
  <si>
    <t>Address of the Bidder</t>
  </si>
  <si>
    <t>Registered office at M/s Shakti Earth Movers LLP, C/O-Ajay Kumar, NH 31, Singhol, Sushil Nagar, Begusarai- 851134, BIHAR
HEADOFFICE: SRI KRISHNA NAGAR, BEGUSARAI, BIHAR- 851101
EMAIL: broadwaylink@rediffmail.com, Phone: 06243 247984, 242452, 242318, Fax 06243 247984, 246178
Mobile No. 9334136611, 9711055726</t>
  </si>
  <si>
    <t>COSTITUTIONAL OR LEGAL STATUS OF BIDDER</t>
  </si>
  <si>
    <t>PRIVATE LIMITED COMPANY (INCORPORATED IN 2001)</t>
  </si>
  <si>
    <t>[COPY ATTACHED]</t>
  </si>
  <si>
    <t>PLACE OF REGISTRATION</t>
  </si>
  <si>
    <t>BIHAR</t>
  </si>
  <si>
    <t>PRINCIPAL PLACE OF BUSINESS</t>
  </si>
  <si>
    <t>PATNA BIHAR</t>
  </si>
  <si>
    <t>POWER OF ATTORNEY OF SIGNATORY OF BID</t>
  </si>
  <si>
    <t>SANJAY KUMAR SINGH</t>
  </si>
  <si>
    <t>[ATTACHED]</t>
  </si>
  <si>
    <t>Power of Attorney attached</t>
  </si>
  <si>
    <t>TOTAL VALUE OF CIVIL ENGINEERING CONSTRUCTION WORK PERFORMED IN THE LAST FIVE YEARS</t>
  </si>
  <si>
    <t>FINANCIAL YEAR</t>
  </si>
  <si>
    <t>TURNOVER Rs. In LAKH</t>
  </si>
  <si>
    <t>Remarks</t>
  </si>
  <si>
    <t>MULTIPLYING FACTOR FOR CURRENT FY</t>
  </si>
  <si>
    <t>ESCALATED VALUE IN Rs. LAKH</t>
  </si>
  <si>
    <t>[IN RS. LAKH]</t>
  </si>
  <si>
    <t>2019-2020</t>
  </si>
  <si>
    <t>2020-2021</t>
  </si>
  <si>
    <t>2021-2022</t>
  </si>
  <si>
    <t>2022-2023</t>
  </si>
  <si>
    <t>2023-2024</t>
  </si>
  <si>
    <t>TOTAL TURNOVER in Rs. LAKH</t>
  </si>
  <si>
    <t>AVERAGE TURNOVER IN RS. LAKH</t>
  </si>
  <si>
    <t>1.3.1</t>
  </si>
  <si>
    <t xml:space="preserve">Work performed as prime contractor, work performed in the past as a nominated subcontractor will also be considered provided the sub-contract involved execution of all main items of work described in the bid document, provided further that all other qualification criteria are satisfied (in the same name) on works of a similar nature over the last five years. ** </t>
  </si>
  <si>
    <t>S.NO.</t>
  </si>
  <si>
    <t>PROJECT NAME</t>
  </si>
  <si>
    <t>NAME OF EMPLOYER</t>
  </si>
  <si>
    <t>DESCRIPTION OF WORK</t>
  </si>
  <si>
    <t>CONTRACT NO.</t>
  </si>
  <si>
    <t>VALUE OF CONTRACT (Rs CRORE)</t>
  </si>
  <si>
    <t>DATE OF ISSUE OF WORK ORDER</t>
  </si>
  <si>
    <t>STIPULATED PERIOD OF COMPLETION</t>
  </si>
  <si>
    <t>ACTUAL DATE OF COMPLETION</t>
  </si>
  <si>
    <t>REMARKS EXPLAINING REASONS FOR DELAY &amp; WORK COMPLETED</t>
  </si>
  <si>
    <t>BASE YEAR</t>
  </si>
  <si>
    <t>MULTIPLYING FACTOR</t>
  </si>
  <si>
    <t>UPDATED VALUE TO 2020-21 PRICE LEVEL (RS CRORE)</t>
  </si>
  <si>
    <t>Widening to 2 Lane with paved shoulders &amp; improvement of NH-98 from Km 57.00 to Km 79.147 under NH(O) in the state of Jharkhand (Job No. 098-JHR-2016-17/255)</t>
  </si>
  <si>
    <t>EE, NH Division, Medininagar</t>
  </si>
  <si>
    <t>Bituminous Road, GSB, WMM, RCC Drain and RCC Box Culverts, PROTECTION WORKS</t>
  </si>
  <si>
    <t>04 SBD/2017-18 dt. 28.04.17 &amp; supplementary agreement vide 03/SBD.2019-20 DT. 4/9/19</t>
  </si>
  <si>
    <t>28.04.2017</t>
  </si>
  <si>
    <t>18 months</t>
  </si>
  <si>
    <t>30.04.2019</t>
  </si>
  <si>
    <t>Additional work/ SUPPLEMENTARY AGREEMENT</t>
  </si>
  <si>
    <t>2017-18</t>
  </si>
  <si>
    <t>Strengthening and Construction of Black-Top Road on top of Lower Noon left   Embankment from 501.00 R.D to 581.00 R.D  and Khemait Jheel link Channel left Embankment from 0.00 RD to 35.70 R.D under Flood Control Division Dalsinghsarai. 01SBD/2015-16</t>
  </si>
  <si>
    <t>EE, FCD, Dalsinghsarai</t>
  </si>
  <si>
    <t>Bituminous Road Works, Brick work Retaining Wall</t>
  </si>
  <si>
    <t>01-SBD/2015-16 dated 11.04.15</t>
  </si>
  <si>
    <t>11.04.2015</t>
  </si>
  <si>
    <t>15 months</t>
  </si>
  <si>
    <t>31.3.2019</t>
  </si>
  <si>
    <t>BLPL SHARE 74% IN BLPL-MGCPL (JV)
Construction Completed &amp; Under Maintenance</t>
  </si>
  <si>
    <t>2018-19</t>
  </si>
  <si>
    <t>Construction of Black-Top Road on top of Lower Noon right   Embankment from 500.50 R.D 589.00 R.D  and Khemait Jheel link right Embankment from 0.00 RD to 33.00 R.D under Flood Control Division Dalsinghsarai</t>
  </si>
  <si>
    <t>01/SBD/16-17 dated 17.02.2017</t>
  </si>
  <si>
    <t>17.02.2017</t>
  </si>
  <si>
    <t>15.07.2019</t>
  </si>
  <si>
    <t>Construction Completed &amp; Under Maintenance</t>
  </si>
  <si>
    <t>2016-17</t>
  </si>
  <si>
    <t>RESTORATION AND LINING OF SONE WESTERN LINK CANAL</t>
  </si>
  <si>
    <t>EE, SONE BARRAGE DIVISION, INDRAPURI</t>
  </si>
  <si>
    <t>Earth Work, Canal Concrete Lining, Road Works, Pump House, Retaining Wall, Boulder Pitching</t>
  </si>
  <si>
    <t>02/SBD/2016-17 DATED 2.2.2017</t>
  </si>
  <si>
    <t>02.02.2017</t>
  </si>
  <si>
    <t>24 months</t>
  </si>
  <si>
    <t>30.04.2022</t>
  </si>
  <si>
    <t>BLPL SHARE 27.50% IN BLPL-C&amp;C (JV)
SUBCONTRACT 69.70% FROM C&amp;C (LEAD MEMBER)
Construction Completed &amp; Under Maintenance</t>
  </si>
  <si>
    <t>Widening and Strengthening of Samastipur-Dalsinghsarai Road in Km. 20.00 to Km. 28.80 (Total Length 7.900 Km.) for the year 2018-19</t>
  </si>
  <si>
    <t>EE, RCD, ROSERA</t>
  </si>
  <si>
    <t>Bituminous &amp; PQC Road works, RCC Drain, Electrical utility shifting works</t>
  </si>
  <si>
    <t>01 SBD / 2019-20 DT. 19.07.2019</t>
  </si>
  <si>
    <t>19.07.2019</t>
  </si>
  <si>
    <t>15 MONTHS</t>
  </si>
  <si>
    <t>02.12.2020</t>
  </si>
  <si>
    <t>Widening &amp; Strengthening of Dharraura Chowk to Mazampur Bajidpur-Bahera Jhanjharpur road in km 0.0 to 11.64 in darbhanga district under Road Division, Benipur for the year 2019-20</t>
  </si>
  <si>
    <t>EE, RCD, BENIPUR</t>
  </si>
  <si>
    <t>Bituminous &amp; PQC Road works, RCC Drain</t>
  </si>
  <si>
    <t>18 SBD of 2019-20 DT. 16.03.2020</t>
  </si>
  <si>
    <t>16.03.2020</t>
  </si>
  <si>
    <t>12 MONTHS</t>
  </si>
  <si>
    <t>31.01.2022</t>
  </si>
  <si>
    <t>2019-20</t>
  </si>
  <si>
    <t>Widening &amp; Strengthening of Supaul to Bauram Road  in km 0.00 to 12.20 under Road Division Benipur for the year 2019-20Widening &amp; Strengthening of Supaul to Bauram Road  in km 0.00 to 12.20 under Road Division Benipur for the year 2019-20</t>
  </si>
  <si>
    <t>Bituminous &amp; PQC Road works, RCC BOX CULVERT, RCC Drain</t>
  </si>
  <si>
    <t>4 SBD OF 2020-21 Dated 20.07.20</t>
  </si>
  <si>
    <t>20.07.2020</t>
  </si>
  <si>
    <t>19.01.2022</t>
  </si>
  <si>
    <t>15.03.2024</t>
  </si>
  <si>
    <t>18 MONTHS EOT IN PROCESS</t>
  </si>
  <si>
    <t>2020-21</t>
  </si>
  <si>
    <t>Widening &amp; Strengthening work of Vishwakarma Chowk to Guabadi,Narayanpipar, Chaurahi Block Head Via-Bakhadda Chowk of Cheriya Bariyarpur Block for the year 2019-20.</t>
  </si>
  <si>
    <t>EE, RCD, BEGUSARAI</t>
  </si>
  <si>
    <t>03/2019-20 DT. 04.12.2019</t>
  </si>
  <si>
    <t>04.12.2019</t>
  </si>
  <si>
    <t>21 MONTHS</t>
  </si>
  <si>
    <t>03.12.2021</t>
  </si>
  <si>
    <t>COVID-19</t>
  </si>
  <si>
    <t>Widening and Strengthening (from Single Lane to Double Lane) of Turki (N.H.-77)-Saraiya (N.H.-102) Road (Km 0.000 to Km 21.825) under PMGSY (RCP-LWE) in the district of Muzaffarpur, Bihar for the year 2019-20 (Package No. BR23RC-119 )</t>
  </si>
  <si>
    <t>EE, RCD, RD-1, Muzaffarpur</t>
  </si>
  <si>
    <t xml:space="preserve">SBD-09 LWE OF 2020-21 </t>
  </si>
  <si>
    <t>11.12.2020</t>
  </si>
  <si>
    <t>10.06.2022</t>
  </si>
  <si>
    <t>31.03.2023</t>
  </si>
  <si>
    <t>Widening and Strenthening of Road from Basariya, NH-28 to Sarairanjan, NH-103 via Ramnagar chowk (Bella-Megh chowk), Jhakhra, Sarairanjan, Saraiya, Morwa under Road Division, Rosera from Ch. Km. 5.600 to 12.270 for the year 2018-19.</t>
  </si>
  <si>
    <t>01 (SBD) of 2020-21 dt. 29.05.2020</t>
  </si>
  <si>
    <t>29.05.2020</t>
  </si>
  <si>
    <t>10.03.2022</t>
  </si>
  <si>
    <t>Piling, Civil &amp; Structural and Underground Piping Work for new Process units such as NHT, CCR, NAPTHA SPLITTER, BENSAT and MS BLENDING UNITS OF BS-IV PROJECT at Barauni Refinery (Tender No. TP/069107C001/T/BS-IV/16)</t>
  </si>
  <si>
    <t>IOCL, Refineries Division, New Delhi</t>
  </si>
  <si>
    <t>Piling, Civil &amp; Structural and Underground Piping Work</t>
  </si>
  <si>
    <t>FOA Issues vide letter no. TP/068107C001/T/BS-IV/16/FOA/56 dated 28.08.2017</t>
  </si>
  <si>
    <t>28.08.2017</t>
  </si>
  <si>
    <t>27.02.2019</t>
  </si>
  <si>
    <t>29.06.2020</t>
  </si>
  <si>
    <r>
      <t xml:space="preserve">Design Engineering Changes, Delay in Site Handover &amp; COVID-19
Order Value 78,66,63,845.75 (without GST)
Actual Completion Cost </t>
    </r>
    <r>
      <rPr>
        <b/>
        <sz val="11"/>
        <color theme="1"/>
        <rFont val="Aptos Narrow"/>
        <family val="2"/>
        <scheme val="minor"/>
      </rPr>
      <t>80,68,92,297.53 (without GST)</t>
    </r>
  </si>
  <si>
    <t>Civil Works including Building and U.G.Piping Works for HURL Project, Barauni. SUBCONTRACT FROM TECHNIP INDIA LIMITED</t>
  </si>
  <si>
    <t>Technip India Limited</t>
  </si>
  <si>
    <t>Civil Earthwork, PCC/RCC Including Buildings and Under Ground Piping</t>
  </si>
  <si>
    <t>C100006467 dated 07.01.19 Ammend-6 dt. 07.12.2021</t>
  </si>
  <si>
    <t>07.01.2019</t>
  </si>
  <si>
    <t>31.07.2020</t>
  </si>
  <si>
    <t>31.03.2022</t>
  </si>
  <si>
    <r>
      <t xml:space="preserve">Works Completed
Delay Reasons Covid-19 wave 1 &amp; 2
Completion Cost </t>
    </r>
    <r>
      <rPr>
        <b/>
        <sz val="11"/>
        <color theme="1"/>
        <rFont val="Aptos Narrow"/>
        <family val="2"/>
        <scheme val="minor"/>
      </rPr>
      <t>987241560.00 (Without GST)</t>
    </r>
  </si>
  <si>
    <t>Subcontract for Piling Works of DHDT Unit at IOCL BARAUNI</t>
  </si>
  <si>
    <t>CB&amp;I India Private Limited (MCDERMOTT)</t>
  </si>
  <si>
    <t>Piling Works</t>
  </si>
  <si>
    <t>356420-SC-03/540493/CO-02
04th August 2021</t>
  </si>
  <si>
    <t>04.08.2021</t>
  </si>
  <si>
    <t>30.01.2023</t>
  </si>
  <si>
    <t>Works Completed, Delay in Works due to Increase in Scope</t>
  </si>
  <si>
    <t>2021-22</t>
  </si>
  <si>
    <t>Subcontract for Piling Works for OHCU Project, IOCL Barauni</t>
  </si>
  <si>
    <t>Technip Energies India Limited, NOIDA</t>
  </si>
  <si>
    <t>C100008901 DT. 19.06.2021</t>
  </si>
  <si>
    <t>19.06.2021</t>
  </si>
  <si>
    <t>16.03.2023</t>
  </si>
  <si>
    <t>Subcontract for Piling Work for NHT-ll + ISOM-ll Unit at IOCL, Barauni, Bihar</t>
  </si>
  <si>
    <t>Piling &amp; Civil Works</t>
  </si>
  <si>
    <t>241222-SC-04/560515 Rev-4
12th November 2021</t>
  </si>
  <si>
    <t>12.11.2021</t>
  </si>
  <si>
    <t>30.08.2023</t>
  </si>
  <si>
    <t>Piling, Civil including Building, Structure, Road and Drainage Works at 100 KLPD ETHANOL Project, BIADA INDUSTRIAL AREA, Begusarai</t>
  </si>
  <si>
    <t>NEW WAY HOMES PRIVATE LIMITED, New Delhi- 110001
India</t>
  </si>
  <si>
    <t>Piling, Civil including Buildings, Structure, Road and Drain works</t>
  </si>
  <si>
    <t>NWHPL-CIVIL-001 N-22030-BOQ1001-2 dt. 20.01.2022</t>
  </si>
  <si>
    <t>16.03.2022</t>
  </si>
  <si>
    <t>30.09.2023</t>
  </si>
  <si>
    <t>Certificate (s) from the Engineer (s) in Charge attached</t>
  </si>
  <si>
    <t>1.3.3</t>
  </si>
  <si>
    <t>Information on Bid Capacity (Works for which bids have been submitted and works which are yet to be completed) as on the date of this bid.</t>
  </si>
  <si>
    <t>A</t>
  </si>
  <si>
    <t>Existing Commitments and on going works:</t>
  </si>
  <si>
    <t>S.no.</t>
  </si>
  <si>
    <t>Description of Works</t>
  </si>
  <si>
    <t>Name of Employer</t>
  </si>
  <si>
    <t>Place &amp; State</t>
  </si>
  <si>
    <t>Percentage of participation of Bidder in the project</t>
  </si>
  <si>
    <t>Contract No./ date of start of project</t>
  </si>
  <si>
    <t>Value of Works as per Agreement/ LOA in Crore</t>
  </si>
  <si>
    <t>Value of Works Completed (IN Crore)</t>
  </si>
  <si>
    <t>Balance Value of Works to be completed in Crore</t>
  </si>
  <si>
    <t>Anticipated date of Completion</t>
  </si>
  <si>
    <t>Balance value of work at 2020-21 Price Level
Rs. In Crore</t>
  </si>
  <si>
    <t>DATE OF COMP.</t>
  </si>
  <si>
    <t>COMPLETION %</t>
  </si>
  <si>
    <t>RA BILL REFERENCE</t>
  </si>
  <si>
    <t>7=(5-6)</t>
  </si>
  <si>
    <t>9 (3x7x# updation factor)</t>
  </si>
  <si>
    <t>Widening &amp; Strengthening of road from km 38 of Mahnar-Mohiuddinagar-Bachhwara road Mau Bazar to Piparpati-Garhsisai-Bangraha-Barhouna High School-Barhouna Ghat from km 0 to 18.00 (Total length 18.00 km) under Road Division Samastipur</t>
  </si>
  <si>
    <t>EE, RCD, SAMASTIPUR</t>
  </si>
  <si>
    <t>SAMASTIPUR, BIHAR</t>
  </si>
  <si>
    <t>03/CMBD/2017-18 dt. 27.07.17</t>
  </si>
  <si>
    <t>26.1.19 CONSTRUCTION WORK COMPLETED</t>
  </si>
  <si>
    <t>CONSTRUCTION OF CANAL AND ITS LINING WORK AND STRUCTURES FROM R.D. 806.40 TO R.D. 827.70 UNDER TIRHUT MAIN CANAL</t>
  </si>
  <si>
    <t>EE, Tirhut Canal Division, Motipur, Camp- Muzaffarpur</t>
  </si>
  <si>
    <t>01/SBD/2017-18 DATED 22.11.2017</t>
  </si>
  <si>
    <t>Lining work of Chausa Branch Canal from Km. 0.000 to Km. 12.924 &amp; restoration of Kochas and Indore distributary under Ganga Pump Canal Division Chousa Buxar</t>
  </si>
  <si>
    <t>EE, Ganga Pump Canal Division, Chousa Buxar</t>
  </si>
  <si>
    <t>Chousa, Buxar</t>
  </si>
  <si>
    <t>01SBD/2017-18 dated 04.11.2017</t>
  </si>
  <si>
    <t>30.06.2022 
EOT REQUESTED TILL 30.06.2025</t>
  </si>
  <si>
    <t>Long Term Output and Performance based Road Maintenance work for the roads  Package No.11 A/OPRMC2/ROSERA</t>
  </si>
  <si>
    <t>Rosera, Samstipur, Bihar</t>
  </si>
  <si>
    <t>21.02.2026</t>
  </si>
  <si>
    <t xml:space="preserve"> Long Term Output and Performance based Road Maintenance work for the roads  Package No.9A/OPRMC2/Benipur.</t>
  </si>
  <si>
    <t>EE, BENIPUR, DARBHANGA</t>
  </si>
  <si>
    <t>BENIPUR, DARBHANGA</t>
  </si>
  <si>
    <t>11.02.2026</t>
  </si>
  <si>
    <t xml:space="preserve">Widening and Strengthening of Magardahighat to Silout (Durga Asthan) Road in Km 0.00 to 5.00 (Total Length - 5.00 Km) for the year 2019-20. </t>
  </si>
  <si>
    <t>EE, RCD, Samastipur</t>
  </si>
  <si>
    <t>LOA ISSUED VIDE LETTER NO. 768 DT. 05.09.2020</t>
  </si>
  <si>
    <t>WIDENING AND STRENGTHENING OF MUKTAPUR-WARISNAGAR-BHADOGHAT-HATHAURI ROAD IN KM 00 TO 23.300 (TOTAL LENGTH - 23.30 KM) FOR THE YEAR 2019-20</t>
  </si>
  <si>
    <t>LOA ISSUED VIDE LETTER NO. 782 DT. 09.09.2020</t>
  </si>
  <si>
    <t>Muzaffarpur, Bihar</t>
  </si>
  <si>
    <t>LOA ISSUED VIDE LETTER NO. 2167 DT. 25.11.2020</t>
  </si>
  <si>
    <t>Construction and upgradation of existing Road along Indo-Nepal Border Road Project from Kanhauli to Sursand (Length=49.150 km) Under Sitamarhi District for the year 2019-20</t>
  </si>
  <si>
    <t>EE, RCD, SITAMARHI</t>
  </si>
  <si>
    <t>SITAMARHI, BIHAR</t>
  </si>
  <si>
    <t xml:space="preserve">LOA VIDE LETTER NO. 760 DT.04.06.2021 &amp; Notice to Proceed vide Letter No. 766 dt. 05.06.2021 </t>
  </si>
  <si>
    <t xml:space="preserve">30 MONTHS
04.12.2023
</t>
  </si>
  <si>
    <t>Restoration Work of Saran Main Canal From K.m. 0.00 to K.M. 17.00</t>
  </si>
  <si>
    <t>EE, SCD, WRD, Gopalganj</t>
  </si>
  <si>
    <t>Gopalganj, Bihar</t>
  </si>
  <si>
    <t>01-SBD/2023-24 dt. 15.03.2024 &amp; SA 01-SBD/2023-24 dt. 22.10.2024</t>
  </si>
  <si>
    <t>2023-24</t>
  </si>
  <si>
    <t>VALUE OF B</t>
  </si>
  <si>
    <t>Barricading Works for OHCU Project, IOCL Barauni SUBCONTRACT FROM TECHNIP INDIA LIMITED</t>
  </si>
  <si>
    <t>Barauni, Bihar</t>
  </si>
  <si>
    <t>TECHNIP/CONS/201744C001/LOI/002 DT. 24.02.2021 SUB-CON APPROVAL DT. 10.04.21 FORM III DT. 25.05.21</t>
  </si>
  <si>
    <t>3 MONTHS
24.08.21</t>
  </si>
  <si>
    <t>3RD RA BILL FOR WORK DONE
TILL 31.01.2022</t>
  </si>
  <si>
    <t>Dismantling Works for OHCU Project, IOCL Barauni SUBCONTRACT FROM TECHNIP INDIA LIMITED</t>
  </si>
  <si>
    <t>TECHNIP/CONS/201744C001/LOI/004 DT. 09.03.2021 SUB-CON APPROVAL DT. 10.04.21 FORM III DT. 25.03.21</t>
  </si>
  <si>
    <t>Civil, UG &amp; Structural Steel Works for OHCU Project, IOCL Barauni SUBCONTRACT FROM TECHNIP INDIA LIMITED</t>
  </si>
  <si>
    <t>TECHNIP/CONS/201744C001/LOI/004 DT. 27.04.2021 EFF. DATE OF START 01.06.2021 &amp; ammend 5 dt. 07.03.2024</t>
  </si>
  <si>
    <t>CONSTRUCTION OF ROADS, STORM WATER DRAINS, CULVERTS, ELECTRICAL &amp; INSTRUMENTATION CABLE TRENCHES, DUCT BANKS ETC. ALONG WITH THE ASSOCIATED JOBS IN OFF-SITE AREAS AS PART OF THE CAPACITY EXPANSION (TO 9.00 MMTPA) PROJECT OF BARAUNI REFINERY OF INDIAN OIL CORPORATION LIMITED AT BARAUNI, BIHAR.</t>
  </si>
  <si>
    <t>INDIAN OIL CORPORATION LTD</t>
  </si>
  <si>
    <t>FOA NO. IBCE-6373-C00-
PJM-TEN-EPCM-23/2020-
21/FOA/027 DATED
03.06.2021</t>
  </si>
  <si>
    <t>SUBCONTRACT FOR CIVIL UG WORKS ON DIESEL HYDROTREATING UNIT (DHDT) AT IOCL, BARAUNI, BIHAR EPCC-05</t>
  </si>
  <si>
    <t>CB&amp;I India Private Limited , Gurgaon, Haryana, 122002 India.</t>
  </si>
  <si>
    <t>356420-SC-04/555591 dt. 10.11.2021 &amp; Ammend 1 dt. 16.01.2024</t>
  </si>
  <si>
    <t>Mechanical Works for IOCL Barauni Project, Project No. EN-22-1927 (Hydrogen and Nitrogen Generation Unit at IOCL Barauni Refinery)</t>
  </si>
  <si>
    <t>Prodair Air Products India Pvt. Ltd., IOCL Barauni Refinery</t>
  </si>
  <si>
    <t>Oil &amp; Gas (Piling, Civil, Structure and UG Piping Works) (B)</t>
  </si>
  <si>
    <t>(A) + (B)</t>
  </si>
  <si>
    <t>B</t>
  </si>
  <si>
    <t>Works for which Bids already submitted:</t>
  </si>
  <si>
    <t>S.No.</t>
  </si>
  <si>
    <t xml:space="preserve">Description of Works </t>
  </si>
  <si>
    <t>Name &amp; Address of Employer</t>
  </si>
  <si>
    <t>Estimated Value of Works (Rs Cr)</t>
  </si>
  <si>
    <t>Stipulated Period of Completion</t>
  </si>
  <si>
    <t>Date when decision is expected</t>
  </si>
  <si>
    <t>Remarks if any</t>
  </si>
  <si>
    <t>BID CAPACITY CALCULATION</t>
  </si>
  <si>
    <t>A=</t>
  </si>
  <si>
    <t>MAXIMUM VALUE OF WORKSEXECUTED IN ANY ONE YEAR DURING THE LAST FIVE YEAR (UPDATED TO THE CURRENT PRICE LEVEL)</t>
  </si>
  <si>
    <t xml:space="preserve">VALUE OF WORK DONE= </t>
  </si>
  <si>
    <t>Rs. In LAKH</t>
  </si>
  <si>
    <t>HENCE A=</t>
  </si>
  <si>
    <t>B=</t>
  </si>
  <si>
    <t>HENCE B=</t>
  </si>
  <si>
    <t>N</t>
  </si>
  <si>
    <t>Number of Years prescribed for the completion of works</t>
  </si>
  <si>
    <t>years</t>
  </si>
  <si>
    <t>Assessed BID Capacity=</t>
  </si>
  <si>
    <t>=</t>
  </si>
  <si>
    <t>-</t>
  </si>
  <si>
    <t>24.12.2020</t>
  </si>
  <si>
    <t>23.12.2021</t>
  </si>
  <si>
    <t>31.03.2024 EOT
30.04.2024</t>
  </si>
  <si>
    <t>22.09.2020</t>
  </si>
  <si>
    <t>21.03.2022</t>
  </si>
  <si>
    <t>Contract No. 4900120303 dated 18.04.2023 &amp; Ammend 3 dt. 02.01.2025</t>
  </si>
  <si>
    <t xml:space="preserve">VALUE AT CURRENT PRICE LEVEL OF THE EXISTING COMMITMENTS AND ONGOING WORKS TO BE COMPLETED DURING THE NEXT 15 MONTHS/1.25 YEAR </t>
  </si>
  <si>
    <t>Sector</t>
  </si>
  <si>
    <t>Value (in Cr.)</t>
  </si>
  <si>
    <t>Oil &amp; Gas</t>
  </si>
  <si>
    <t>Roads &amp; Highways</t>
  </si>
  <si>
    <t>Fertilizer</t>
  </si>
  <si>
    <t>Canal Lining</t>
  </si>
  <si>
    <t>Ethanol Plant</t>
  </si>
  <si>
    <t>NHAI, SH, MDR, OR</t>
  </si>
  <si>
    <t>Old Oil &amp; GAS</t>
  </si>
  <si>
    <t>Irrigation Restoration Earthwork</t>
  </si>
  <si>
    <t>TOTAL</t>
  </si>
  <si>
    <t>Work</t>
  </si>
  <si>
    <t>Order Value in Crores</t>
  </si>
  <si>
    <t>Executed Value in Crores</t>
  </si>
  <si>
    <t>Balance Work in Crores</t>
  </si>
  <si>
    <t>Oil &amp; Gas Piling, Civil &amp; Str with UG Piping</t>
  </si>
  <si>
    <t>Oil &amp; Gas Mechanical Str with AG Piping &amp; Equipment</t>
  </si>
  <si>
    <t>Canal Const. &amp; Lining</t>
  </si>
  <si>
    <t>Net Worth (Rs. In Lacs)</t>
  </si>
  <si>
    <t xml:space="preserve"> 2018-19</t>
  </si>
  <si>
    <t xml:space="preserve"> 2019-20</t>
  </si>
  <si>
    <t xml:space="preserve"> 2020-21</t>
  </si>
  <si>
    <t xml:space="preserve"> 2021-22</t>
  </si>
  <si>
    <t xml:space="preserve"> 2022-23</t>
  </si>
  <si>
    <t>2024-25</t>
  </si>
  <si>
    <t>AUDITED</t>
  </si>
  <si>
    <t>18 MONTHS</t>
  </si>
  <si>
    <t>31.12.2024</t>
  </si>
  <si>
    <t>Work Completed, 31.12.2024 EOT REQUESTED, Final Deviation under progress</t>
  </si>
  <si>
    <t>13 MONTHS
02.07.2022
PTW EXTENDED TILL 31.03.2025</t>
  </si>
  <si>
    <t>14TH RA BILL FOR WORK DONE
TILL 31.12.2024</t>
  </si>
  <si>
    <t>31.03.2023
Anticipated Completion by 31.03.2025</t>
  </si>
  <si>
    <t>31.12.2024
Anticipated Completion by 31.03.2025</t>
  </si>
  <si>
    <t>31.07.2025</t>
  </si>
  <si>
    <t xml:space="preserve"> 2023-24</t>
  </si>
  <si>
    <t xml:space="preserve"> 2024-25</t>
  </si>
  <si>
    <t>QUALIFYING VALUE</t>
  </si>
  <si>
    <t>similar nature for FY2 2024-25</t>
  </si>
  <si>
    <t>TOTAL SHEOHAR</t>
  </si>
  <si>
    <t>TOTAL ARARIA</t>
  </si>
  <si>
    <t>TOTAL PURNEA</t>
  </si>
  <si>
    <t>CHITRAKOOT</t>
  </si>
  <si>
    <t>2022-23</t>
  </si>
  <si>
    <t>TOTAL VALUE OF WORK DONE</t>
  </si>
  <si>
    <t>CATEGORY</t>
  </si>
  <si>
    <t>NAME OF PROJECT</t>
  </si>
  <si>
    <t>S. NO.</t>
  </si>
  <si>
    <t>31ST RA BILL DATED 24.09.2025</t>
  </si>
  <si>
    <t>53RD RA BILL DATED 11.11.2025</t>
  </si>
  <si>
    <t>Construction Completed on 31.03.2023 under Maintenance</t>
  </si>
  <si>
    <t>Certificate No. 1097 dt. 19.05.2025</t>
  </si>
  <si>
    <t>19th RA BILL DT. 08.09.2025</t>
  </si>
  <si>
    <t>16TH RA BILL DATED 25.12.2025</t>
  </si>
  <si>
    <t xml:space="preserve">15 MONTHS
EOT APPROVED TILL 14.06.2026
</t>
  </si>
  <si>
    <t>44th RA BILL FOR WORK DONE TILL 31.10.2025</t>
  </si>
  <si>
    <t>48TH RA BILL FOR WORK DONE TILL 31.07.2025</t>
  </si>
  <si>
    <t>25TH RA BILL FOR WORK DONE TILL 25.08.2025</t>
  </si>
  <si>
    <t>Composite Works for Unit and Balance Offsite of New Biturox Plant and Allied Facilities of Barauni Refinery of IOCL</t>
  </si>
  <si>
    <t>Work Order No. 71654304 dt. 04.11.2025</t>
  </si>
  <si>
    <t>09.12.2025</t>
  </si>
  <si>
    <t>2025-26</t>
  </si>
  <si>
    <t>TECHNICAL BID OPEN</t>
  </si>
  <si>
    <t>Modernization of Western Main Canal from 0.000 km to 07.100 km of Western main canal of Sone Canal System under Bihar Water Security and Irrigation Modernization Project (BWSIMP)</t>
  </si>
  <si>
    <t>Modernization of Western Main Canal from 7.100 km to 18.700 km and + Added 2.700 Km Distance to Jainagra Lock of Western main canal of Sone Canal System under Bihar Water Security and Irrigation Modernization Project (BWSIMP)</t>
  </si>
  <si>
    <t>Rehabilitation and Modernization of Western Kosi Main Canal from km. 0.00 to km. 18.29 (India Portion) of Western Kosi Irrigation Scheme under Bihar Water Security and Irrigation Modernization Project (BWSIMP)</t>
  </si>
  <si>
    <t>Rehabilitation and Modernization of Western Kosi Main Canal from KM 18.29 to KM 26.21 (India Portion) of Western Kosi Irrigation Scheme under Bihar Water Security and Irrigation Modernization Project (BWSIMP)</t>
  </si>
  <si>
    <t>DEHRI, BIHAR</t>
  </si>
  <si>
    <t>CE, IC, DEHRI</t>
  </si>
  <si>
    <t>36 MONTHS</t>
  </si>
  <si>
    <t>MADHUNABI, BIHAR</t>
  </si>
  <si>
    <t>CE, IC, DARBHANGA</t>
  </si>
  <si>
    <t>24 MONTHS</t>
  </si>
  <si>
    <t>MADHUBANI, BIHAR</t>
  </si>
  <si>
    <t>CE, IC DARBHANGA</t>
  </si>
  <si>
    <t xml:space="preserve">Rehabilitation and Modernization of Western Kosi Main Canal from KM 26.21 to KM 36.18 (India Portion) of Western Kosi Irrigation Scheme under Bihar Water Security and Irrigation Modernization Project </t>
  </si>
  <si>
    <t>BID SUBMISSION DATE 04.09.2025 VALID FOR 180 DAYS</t>
  </si>
  <si>
    <t>FY 2024-25</t>
  </si>
  <si>
    <t>MULTIPLYING FACTOR FOR YEAR 1=</t>
  </si>
  <si>
    <t>30907.08X1.0</t>
  </si>
  <si>
    <t>A x N x 2.5 - B</t>
  </si>
  <si>
    <t>x1.5x2.5</t>
  </si>
  <si>
    <t>MISCELLANEOUS CIVIL &amp; STRL. WORKS FOR 387 ACRE AREA FOR PANIPAT REFINERY EXPANSION PROJECT (P25) of M/s Indian Oil Corporation Limited (IOCL), India</t>
  </si>
  <si>
    <t>PANIPAT, HARYANA</t>
  </si>
  <si>
    <t>IOCL, PANIPAT</t>
  </si>
  <si>
    <t>BID SUBMISSION DATE 04.12.2025 VALID FOR 180 DAYS</t>
  </si>
  <si>
    <t>60TH RA BILL DATED 11.12.2025</t>
  </si>
  <si>
    <t>17TH RA BILL DATED 10.12.2024</t>
  </si>
  <si>
    <t>4/MBD/2018-19 DT. 12.02.2019 + ADD AGG. DT. 17.11.2025</t>
  </si>
  <si>
    <t>05MBD/2018-19 DT. 20.02.2019 + ADD AGG DT. 04.10.2025</t>
  </si>
  <si>
    <t>GROSS TURNOVER (Rs. In Lacs)</t>
  </si>
  <si>
    <r>
      <t>Specialized in national highways, bridges, industrial projects, and oil &amp; gas infrastructure. Over </t>
    </r>
    <r>
      <rPr>
        <b/>
        <sz val="11"/>
        <color rgb="FFF28C28"/>
        <rFont val="Arial"/>
        <family val="2"/>
      </rPr>
      <t>₹300 Cr</t>
    </r>
    <r>
      <rPr>
        <sz val="11"/>
        <color theme="1"/>
        <rFont val="Arial"/>
        <family val="2"/>
      </rPr>
      <t> in active order book with a fleet of </t>
    </r>
    <r>
      <rPr>
        <b/>
        <sz val="11"/>
        <color rgb="FFF28C28"/>
        <rFont val="Arial"/>
        <family val="2"/>
      </rPr>
      <t>200+</t>
    </r>
    <r>
      <rPr>
        <sz val="11"/>
        <color theme="1"/>
        <rFont val="Arial"/>
        <family val="2"/>
      </rPr>
      <t> equipment units.</t>
    </r>
  </si>
  <si>
    <t>Building India's Infrastructure Since 2001.</t>
  </si>
  <si>
    <r>
      <t xml:space="preserve">Broadway Links Private Limited (BLPL) is a premier infrastructure development company headquartered in Begusarai, Bihar. With a net worth of </t>
    </r>
    <r>
      <rPr>
        <b/>
        <sz val="11"/>
        <color theme="1"/>
        <rFont val="Aptos Narrow"/>
        <family val="2"/>
        <scheme val="minor"/>
      </rPr>
      <t>₹170 Crores</t>
    </r>
    <r>
      <rPr>
        <sz val="11"/>
        <color theme="1"/>
        <rFont val="Aptos Narrow"/>
        <family val="2"/>
        <scheme val="minor"/>
      </rPr>
      <t xml:space="preserve"> and a robust asset base of </t>
    </r>
    <r>
      <rPr>
        <b/>
        <sz val="11"/>
        <color theme="1"/>
        <rFont val="Aptos Narrow"/>
        <family val="2"/>
        <scheme val="minor"/>
      </rPr>
      <t>₹275 Crores</t>
    </r>
    <r>
      <rPr>
        <sz val="11"/>
        <color theme="1"/>
        <rFont val="Aptos Narrow"/>
        <family val="2"/>
        <scheme val="minor"/>
      </rPr>
      <t>, we execute large-scale projects in Highways, Irrigation, and Industrial Oil &amp; Gas sectors.</t>
    </r>
  </si>
  <si>
    <r>
      <t xml:space="preserve">ISO 9001: 2015, ISO 45001: 2018, ISO 14001: 2015 COMPLIANT COMPANY </t>
    </r>
    <r>
      <rPr>
        <b/>
        <sz val="11"/>
        <color rgb="FFFF0000"/>
        <rFont val="Aptos Narrow"/>
        <family val="2"/>
        <scheme val="minor"/>
      </rPr>
      <t>(DON’T USE LOGOS)</t>
    </r>
  </si>
  <si>
    <t>Our Strength</t>
  </si>
  <si>
    <t>Group Ecosystem</t>
  </si>
  <si>
    <t>A diversified conglomerate with a 35-year legacy in Infrastructure, Steel, Mining, Energy and Real Estate</t>
  </si>
  <si>
    <t>New Way Homes Pvt Ltd
Real Estate, Ethanol Productdion (Greater Noida West, Dehradun &amp; Barauni)</t>
  </si>
  <si>
    <t>Consistent Growth Track Record</t>
  </si>
  <si>
    <t>With an average annual turnover of ₹221.5 Crores and a strong balance sheet, BLPL demonstrates financial stability and execution capability for large-scale infrastructure projects.</t>
  </si>
  <si>
    <t>1.3.2 Quantities of work executed as prime contractor, work performed in the past as a nominated sub-contractor will also be considered provided the sub-contract involved execution of all main items of work described in the bid document, provided further that all other qualification criteria are satisfied (in the same name and style) in the last five years :**</t>
  </si>
  <si>
    <t>NAME OF THE CONTRACTOR</t>
  </si>
  <si>
    <t>Year</t>
  </si>
  <si>
    <t>Name of the work</t>
  </si>
  <si>
    <t>Name of the Employer*</t>
  </si>
  <si>
    <t>TOTAL CONCRETE WORKS</t>
  </si>
  <si>
    <t>STEEL</t>
  </si>
  <si>
    <t>BRICK MASONARY</t>
  </si>
  <si>
    <t>Plaster</t>
  </si>
  <si>
    <t>Earth works</t>
  </si>
  <si>
    <t>SAND FILLING</t>
  </si>
  <si>
    <t>Brick Soling</t>
  </si>
  <si>
    <t>GSB</t>
  </si>
  <si>
    <t>WBM</t>
  </si>
  <si>
    <t>WMM</t>
  </si>
  <si>
    <t>GSB+WMM+WBM</t>
  </si>
  <si>
    <t>BM</t>
  </si>
  <si>
    <t>SDBC</t>
  </si>
  <si>
    <t>DBM</t>
  </si>
  <si>
    <t>BC</t>
  </si>
  <si>
    <t>TOTAL Bituminous Work</t>
  </si>
  <si>
    <t>BACKFILLING WITH GRANULAR MATERIAL</t>
  </si>
  <si>
    <t>FILTER MEDIA</t>
  </si>
  <si>
    <t>BOULDER PITCHING</t>
  </si>
  <si>
    <t>RCC PILING</t>
  </si>
  <si>
    <t>SHEET PILE/ STR. STEEL</t>
  </si>
  <si>
    <t>Mastic
Asphalt</t>
  </si>
  <si>
    <t>ROAD MARKING</t>
  </si>
  <si>
    <t>HUME PIPE</t>
  </si>
  <si>
    <t>ELECTRICAL POLE SHIFTING (RS.)</t>
  </si>
  <si>
    <t>Remarks* (indicate contract Ref)</t>
  </si>
  <si>
    <t>REFERENCE PAGE</t>
  </si>
  <si>
    <t>02/SBD/2016-17 DATED 2.2.2017 BLPL SHARE 27.5%+69.7% subcontract from Lead Member of JV)</t>
  </si>
  <si>
    <t>QTY PAGE 8/70</t>
  </si>
  <si>
    <t>Page no 104</t>
  </si>
  <si>
    <t>Lining work of Chausa Branch Canal from 0.000 Km to 12.924 Km &amp; Restoration of Kochas and Indaur Distributary under Ganga Pump Canal Division, Chausa Buxar</t>
  </si>
  <si>
    <t>EE, GANGA PUMP CANAL DIVISION, BUXAR</t>
  </si>
  <si>
    <t>01/SBD/2017-18 DATED 4.11.2017</t>
  </si>
  <si>
    <t>Page no 105</t>
  </si>
  <si>
    <t>Page no 106</t>
  </si>
  <si>
    <t>QTY PAGE 14/70</t>
  </si>
  <si>
    <t>Page no 109</t>
  </si>
  <si>
    <t>QTY PAGE 15/70</t>
  </si>
  <si>
    <t>Page no 110</t>
  </si>
  <si>
    <t>EE,RCD BENIPUR, DARBHANGA</t>
  </si>
  <si>
    <t>4/MBD/2018-19 DT. 12.02.2019</t>
  </si>
  <si>
    <t>QTY PAGE 24/70</t>
  </si>
  <si>
    <t>Page no 119</t>
  </si>
  <si>
    <t>18 SBD of 2019-20 dt. 13.03.2020</t>
  </si>
  <si>
    <t>QTY PAGE 16/70</t>
  </si>
  <si>
    <t>Page no 111</t>
  </si>
  <si>
    <t>Widening &amp; Strengthening of Supaul to Bauram Road in Km 0.00 to 12.20 under Road Division Benipur for the year 2019-20</t>
  </si>
  <si>
    <t>04SBD/2020-21 dt 20.07.2020</t>
  </si>
  <si>
    <t>QTY PAGE 17&amp;18/70</t>
  </si>
  <si>
    <t>Page no 23</t>
  </si>
  <si>
    <t>SBD-09 LWE OF 2020-21 DT 1112.2020</t>
  </si>
  <si>
    <t>QTY PAGE 19/70</t>
  </si>
  <si>
    <t>Page no 114</t>
  </si>
  <si>
    <t>Widening &amp; Strengthening of Magardahi Ghat to Siliut (Durga Asthan) road in Km. 0.00 to 5.00 (Total Length 5.00 Km) for the Year 2019-20</t>
  </si>
  <si>
    <t>08/EPC of 2020-21 dt. 24.12.2020</t>
  </si>
  <si>
    <t>QTY PAGE 20/70</t>
  </si>
  <si>
    <t>Page no 115</t>
  </si>
  <si>
    <t>Widening &amp; Strengthening of Muktapur-Warisnagar-Bhadohighat-Hatauri Road in Km. 00 to 23.300 (Total Length - 23.30 Km) for the year 2019-20</t>
  </si>
  <si>
    <t>07/SBD of 2020-21 dt. 22.09.2020</t>
  </si>
  <si>
    <t>QTY PAGE 21/70</t>
  </si>
  <si>
    <t>Page no 116</t>
  </si>
  <si>
    <t>IOCL, Refineries Division, New Delhi, baraunirefinery@indianoil.in, anoj.jha@ten.com, navin.chandra@ten.com, 06243240159, 240110, 9873079593</t>
  </si>
  <si>
    <t>C100006467 dated 07.01.19 Ammend-7 dt. 30.05.2023</t>
  </si>
  <si>
    <t>QTY PAGE 54/70</t>
  </si>
  <si>
    <t>QTY PAGE 9/70</t>
  </si>
  <si>
    <t>QTY PAGE 10/70</t>
  </si>
  <si>
    <t>QTY PAGE 23/70</t>
  </si>
  <si>
    <t>Page no 118</t>
  </si>
  <si>
    <t>Page no 23-24</t>
  </si>
  <si>
    <t>02SBD/2021-22 DATED 24.06.2021</t>
  </si>
  <si>
    <t>QTY PAGE 26/70</t>
  </si>
  <si>
    <t>INBR EXP CERTIFICAT QTY 12032025.pdf</t>
  </si>
  <si>
    <t>C100008901 DT. 19.06.2021 ammendment 3 dt. 16.03.2023 RA BILL 09 TILL 31.03.22</t>
  </si>
  <si>
    <t>QTY PAGE 56/70</t>
  </si>
  <si>
    <t>356420-SC-03/540493 DT. 04.08.2021
CHANGE ORDER-03 DT. 17.11.20223</t>
  </si>
  <si>
    <t>QTY PAGE 66&amp;67/70</t>
  </si>
  <si>
    <t>Page no 85-86</t>
  </si>
  <si>
    <t>241222-SC-04/560515 DT. 12.11.2021
CHANGE ORDER-04 DT. 03.04.2024</t>
  </si>
  <si>
    <t>QTY PAGE 69&amp;70/70</t>
  </si>
  <si>
    <t>Page No 94-95</t>
  </si>
  <si>
    <t>WRD MOTIPUR WORK DONE CERTIFICATE 19052025.pdf</t>
  </si>
  <si>
    <t>QTY PAGE 22/70</t>
  </si>
  <si>
    <t>Page no 117</t>
  </si>
  <si>
    <t>QTY PAGE 55/70</t>
  </si>
  <si>
    <t>C100008901 DT. 19.06.2021 ammendment 3 dt. 16.03.2023 RA BILL 15 TILL 31.03.23</t>
  </si>
  <si>
    <t>QTY PAGE (59-56)/70</t>
  </si>
  <si>
    <t>lt no 656 dt 03.06.25 Performance cert.pdf</t>
  </si>
  <si>
    <t>C100008901 DT. 19.06.2021 ammendment 3 dt. 16.03.2023 RA BILL 17  FINAL BILL</t>
  </si>
  <si>
    <t>QTY PAGE (62-59)/70</t>
  </si>
  <si>
    <t>EE, SMC DIVISION, GOPALGANJ</t>
  </si>
  <si>
    <t>SMC EXPERIENCE CERTIFICATE 20052025 CamScanner 05-20-2025 14.29.pdf</t>
  </si>
  <si>
    <t>MAX</t>
  </si>
  <si>
    <t>in any 1 year during last 5 year 2020-2021 TO 2024-2025</t>
  </si>
  <si>
    <t>TOTAL DURING LAST 5 YRS</t>
  </si>
  <si>
    <t>STATIC</t>
  </si>
  <si>
    <t>ROTARY</t>
  </si>
  <si>
    <t>piping fab</t>
  </si>
  <si>
    <t>piping erec</t>
  </si>
  <si>
    <t>PACKAGE/COMPRESSORS</t>
  </si>
  <si>
    <t>REFORMER+DUCT &amp; MANIFOOLD</t>
  </si>
  <si>
    <t>PRESSURE PARTS</t>
  </si>
  <si>
    <t>BOILERS &amp; APH</t>
  </si>
  <si>
    <t>OHCU CIVIL</t>
  </si>
  <si>
    <t>DHDT CIVIL</t>
  </si>
  <si>
    <t>HGU</t>
  </si>
  <si>
    <t>1275 ID</t>
  </si>
  <si>
    <t>NHT ISOM CIVIL</t>
  </si>
  <si>
    <r>
      <rPr>
        <b/>
        <sz val="11"/>
        <color theme="1"/>
        <rFont val="Aptos Narrow"/>
        <family val="2"/>
        <scheme val="minor"/>
      </rPr>
      <t>18.51L</t>
    </r>
    <r>
      <rPr>
        <sz val="11"/>
        <color theme="1"/>
        <rFont val="Aptos Narrow"/>
        <family val="2"/>
        <scheme val="minor"/>
      </rPr>
      <t>+ m³ Annual Earthwork Capacity Massive Fleet Deployment</t>
    </r>
  </si>
  <si>
    <r>
      <rPr>
        <b/>
        <sz val="11"/>
        <color theme="1"/>
        <rFont val="Aptos Narrow"/>
        <family val="2"/>
        <scheme val="minor"/>
      </rPr>
      <t>REPLACE TURNOVER GRAPH</t>
    </r>
    <r>
      <rPr>
        <sz val="11"/>
        <color theme="1"/>
        <rFont val="Aptos Narrow"/>
        <family val="2"/>
        <scheme val="minor"/>
      </rPr>
      <t xml:space="preserve"> FROM 2019-20 -2023-24 WITH </t>
    </r>
    <r>
      <rPr>
        <b/>
        <sz val="11"/>
        <color theme="1"/>
        <rFont val="Aptos Narrow"/>
        <family val="2"/>
        <scheme val="minor"/>
      </rPr>
      <t>2020-21 TO 2024-25 ATTACHED IN FINANCIAL SHEET</t>
    </r>
  </si>
  <si>
    <r>
      <rPr>
        <b/>
        <sz val="11"/>
        <color theme="1"/>
        <rFont val="Aptos Narrow"/>
        <family val="2"/>
        <scheme val="minor"/>
      </rPr>
      <t>54k+ m³</t>
    </r>
    <r>
      <rPr>
        <sz val="11"/>
        <color theme="1"/>
        <rFont val="Aptos Narrow"/>
        <family val="2"/>
        <scheme val="minor"/>
      </rPr>
      <t xml:space="preserve"> Annual Concrete Capacity High-Speed Pavers</t>
    </r>
  </si>
  <si>
    <r>
      <rPr>
        <b/>
        <sz val="11"/>
        <color theme="1"/>
        <rFont val="Aptos Narrow"/>
        <family val="2"/>
        <scheme val="minor"/>
      </rPr>
      <t>₹1233.7 Cr</t>
    </r>
    <r>
      <rPr>
        <sz val="11"/>
        <color theme="1"/>
        <rFont val="Aptos Narrow"/>
        <family val="2"/>
        <scheme val="minor"/>
      </rPr>
      <t xml:space="preserve"> Current Order Book Strong Pipeline</t>
    </r>
  </si>
  <si>
    <t>7TH RA BILL FOR WORK DONE
TILL 30.11.2025</t>
  </si>
  <si>
    <t>Highway Construction</t>
  </si>
  <si>
    <t>Road Long Term Maintenance</t>
  </si>
  <si>
    <t>S. No.</t>
  </si>
  <si>
    <t>Major Item of Work</t>
  </si>
  <si>
    <t>UOM</t>
  </si>
  <si>
    <t>Total Qty. in Last 3 Years</t>
  </si>
  <si>
    <t>Peak Prod. Qty. in a Year</t>
  </si>
  <si>
    <t>Peak Prod. Qty in a Month</t>
  </si>
  <si>
    <t>Piling 500mm &amp; 600mm Dia</t>
  </si>
  <si>
    <t>Rm.</t>
  </si>
  <si>
    <t>IOCL  BR09</t>
  </si>
  <si>
    <t>Concreting</t>
  </si>
  <si>
    <t>Cum.</t>
  </si>
  <si>
    <t>IOCL BR09+HURL</t>
  </si>
  <si>
    <t>Structural Steel Supply,  Fabrication, Painting Erection</t>
  </si>
  <si>
    <t>MT</t>
  </si>
  <si>
    <t>IOCL BR09+HGU</t>
  </si>
  <si>
    <t>Static Equipment Erection</t>
  </si>
  <si>
    <t>Rotary Equipment Erection</t>
  </si>
  <si>
    <t>Package Equipment &amp; Compressor</t>
  </si>
  <si>
    <t>Steam Methane Reformer Erect.</t>
  </si>
  <si>
    <t>Steam Boilers &amp; APH</t>
  </si>
  <si>
    <t>Pressure Parts &amp; Catalyst Tubes</t>
  </si>
  <si>
    <t>ID</t>
  </si>
  <si>
    <t>Above &amp; Below Ground Piping Fabrication</t>
  </si>
  <si>
    <t>IOCL BR09 + HGU</t>
  </si>
  <si>
    <t>AG &amp; UG Piping Erection</t>
  </si>
  <si>
    <t>IM</t>
  </si>
  <si>
    <t>Catalyst Loading</t>
  </si>
  <si>
    <t>Total Qty. in Last 5 Years</t>
  </si>
  <si>
    <t>Peak Production Qty. in a Year</t>
  </si>
  <si>
    <t>Peak Production Qty in a Month</t>
  </si>
  <si>
    <t>Earthwork</t>
  </si>
  <si>
    <t xml:space="preserve">Roads &amp; Canals </t>
  </si>
  <si>
    <t>HYSD Bar Supply &amp; Fixing</t>
  </si>
  <si>
    <t>Roads &amp; O&amp;G</t>
  </si>
  <si>
    <t>GSB+WMM</t>
  </si>
  <si>
    <t xml:space="preserve">Roads </t>
  </si>
  <si>
    <t>Bituminous works (DBM+BC)</t>
  </si>
  <si>
    <t>Roads</t>
  </si>
  <si>
    <t>Protection Works (Boulder Pitching)</t>
  </si>
  <si>
    <t>25mm thick Mastic Asphalt</t>
  </si>
  <si>
    <t>Sqm.</t>
  </si>
  <si>
    <t>Road Marking</t>
  </si>
  <si>
    <t>Peak Construction Capacity for Roads, CANALS &amp; Infrastructure works.</t>
  </si>
  <si>
    <t>Peak Construction Capacity for Oil &amp; Gas</t>
  </si>
  <si>
    <t>Our History</t>
  </si>
  <si>
    <t>Milestones of Excellence</t>
  </si>
  <si>
    <t>YEAR</t>
  </si>
  <si>
    <t xml:space="preserve">OIL &amp; GAS ENTRY </t>
  </si>
  <si>
    <t>Stone Mining Operations Sheikhpura Bihar</t>
  </si>
  <si>
    <t>Stone Mining Operations Palamu Jharkhand</t>
  </si>
  <si>
    <t>Road Maintenance Entry OPRMC2 Bihar</t>
  </si>
  <si>
    <t>500+ Cr. Order Book</t>
  </si>
  <si>
    <t>1000+ Cr. Order Book</t>
  </si>
  <si>
    <t>Major Heavy Line Fleet Expansion</t>
  </si>
  <si>
    <t>Ethanol Production</t>
  </si>
  <si>
    <t>Real Estate ENTRY NWHPL 10Acre GH</t>
  </si>
  <si>
    <t>PWD Contracts ENTRY</t>
  </si>
  <si>
    <t>O&amp;G Mechanical Works ENTRY</t>
  </si>
  <si>
    <t>Sum</t>
  </si>
  <si>
    <t>Average</t>
  </si>
  <si>
    <t>Running Total</t>
  </si>
  <si>
    <t>Count</t>
  </si>
  <si>
    <t xml:space="preserve">Company Founded &amp; </t>
  </si>
  <si>
    <t>DHDT</t>
  </si>
  <si>
    <t>OHCU</t>
  </si>
  <si>
    <t>EPCM-23</t>
  </si>
  <si>
    <t>HGU-N2</t>
  </si>
  <si>
    <t>Total Number of Recordables (A + B + C + D)</t>
  </si>
  <si>
    <t>A. Number of lost workday cases.</t>
  </si>
  <si>
    <t>B. Number of restricted workday cases.</t>
  </si>
  <si>
    <t>Without lost workdays.</t>
  </si>
  <si>
    <t>C. Number of other recordables.</t>
  </si>
  <si>
    <t>D. Number of fatalities.</t>
  </si>
  <si>
    <t>Lost Workday Rate (See 1 below)</t>
  </si>
  <si>
    <t>Recordable Case Rate (See 2 below)</t>
  </si>
  <si>
    <t>1. Lost Workday Rate should be calculated for each year using the following formula:</t>
  </si>
  <si>
    <t># of Lost Workday Cases (A) X 200,000</t>
  </si>
  <si>
    <t># of Hours Worked Annually**</t>
  </si>
  <si>
    <t>2. Recordable Rate should be calculated for each year using the following formula:</t>
  </si>
  <si>
    <t>Total # of Recordables (A + B + C + D) X 200,000</t>
  </si>
  <si>
    <t># of Hours Worked Annually*</t>
  </si>
  <si>
    <t xml:space="preserve">*Identify if these hours are total corporate, a division, if they include parent co., a specific region.  (Other options?) </t>
  </si>
  <si>
    <t># OSHA reference for Air Products internal use.  Contractor to complete above table in full</t>
  </si>
  <si>
    <t>Cumulative LTA Free Million Manhour</t>
  </si>
  <si>
    <t>IOCL BARAUNI</t>
  </si>
  <si>
    <t>Total LTA Free Million Manhour</t>
  </si>
  <si>
    <t>ISO 9001: 2015, ISO 45001: 2018, ISO 14001: 2015 COMPLIANT COMPANY (DON’T USE LOGOS)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</si>
</sst>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0.00000"/>
    <numFmt numFmtId="166" formatCode="0.000000"/>
    <numFmt numFmtId="167" formatCode="0.0000"/>
    <numFmt numFmtId="168" formatCode="0.000"/>
    <numFmt numFmtId="169" formatCode="_ * #,##0.0000_ ;_ * \-#,##0.0000_ ;_ * &quot;-&quot;??_ ;_ @_ "/>
    <numFmt numFmtId="170" formatCode="0.0%"/>
    <numFmt numFmtId="171" formatCode="_ * #,##0.000_ ;_ * \-#,##0.000_ ;_ * &quot;-&quot;??_ ;_ @_ "/>
    <numFmt numFmtId="172" formatCode="_ * #,##0.000_ ;_ * \-#,##0.000_ ;_ * &quot;-&quot;???_ ;_ @_ "/>
    <numFmt numFmtId="173" formatCode="_ * #,##0.000000_ ;_ * \-#,##0.000000_ ;_ * &quot;-&quot;??_ ;_ @_ "/>
    <numFmt numFmtId="174" formatCode="0.0"/>
    <numFmt numFmtId="175" formatCode="_ * #,##0_ ;_ * \-#,##0_ ;_ * &quot;-&quot;??_ ;_ @_ "/>
  </numFmts>
  <fonts count="35" x14ac:knownFonts="1">
    <font>
      <sz val="11"/>
      <color theme="1"/>
      <name val="Aptos Narrow"/>
      <family val="2"/>
      <scheme val="minor"/>
    </font>
    <font>
      <sz val="11"/>
      <color theme="1"/>
      <name val="Aptos Narrow"/>
      <family val="2"/>
      <scheme val="minor"/>
    </font>
    <font>
      <b/>
      <sz val="11"/>
      <color theme="1"/>
      <name val="Aptos Narrow"/>
      <family val="2"/>
      <scheme val="minor"/>
    </font>
    <font>
      <b/>
      <sz val="9"/>
      <color theme="1"/>
      <name val="Aptos Narrow"/>
      <family val="2"/>
      <scheme val="minor"/>
    </font>
    <font>
      <sz val="9"/>
      <color theme="1"/>
      <name val="Aptos Narrow"/>
      <family val="2"/>
      <scheme val="minor"/>
    </font>
    <font>
      <b/>
      <sz val="12"/>
      <color theme="1"/>
      <name val="Aptos Narrow"/>
      <family val="2"/>
      <scheme val="minor"/>
    </font>
    <font>
      <b/>
      <u/>
      <sz val="11"/>
      <color rgb="FF3366CC"/>
      <name val="Times New Roman"/>
      <family val="1"/>
    </font>
    <font>
      <b/>
      <sz val="11"/>
      <color rgb="FF3366CC"/>
      <name val="Times New Roman"/>
      <family val="1"/>
    </font>
    <font>
      <u/>
      <sz val="12"/>
      <color theme="1"/>
      <name val="Times New Roman"/>
      <family val="1"/>
    </font>
    <font>
      <sz val="12"/>
      <color rgb="FF000000"/>
      <name val="Times New Roman"/>
      <family val="1"/>
    </font>
    <font>
      <sz val="11"/>
      <color theme="1"/>
      <name val="Arial"/>
      <family val="2"/>
    </font>
    <font>
      <b/>
      <sz val="11"/>
      <color rgb="FFF28C28"/>
      <name val="Arial"/>
      <family val="2"/>
    </font>
    <font>
      <b/>
      <sz val="11"/>
      <color rgb="FFFF0000"/>
      <name val="Aptos Narrow"/>
      <family val="2"/>
      <scheme val="minor"/>
    </font>
    <font>
      <u/>
      <sz val="11"/>
      <color theme="10"/>
      <name val="Aptos Narrow"/>
      <family val="2"/>
      <scheme val="minor"/>
    </font>
    <font>
      <b/>
      <sz val="12"/>
      <name val="Arial"/>
      <family val="2"/>
    </font>
    <font>
      <sz val="11"/>
      <name val="Aptos Narrow"/>
      <family val="2"/>
      <scheme val="minor"/>
    </font>
    <font>
      <b/>
      <sz val="10"/>
      <name val="Arial"/>
      <family val="2"/>
    </font>
    <font>
      <sz val="10"/>
      <name val="Arial"/>
      <family val="2"/>
    </font>
    <font>
      <b/>
      <sz val="11"/>
      <color rgb="FF00B0F0"/>
      <name val="Aptos Narrow"/>
      <family val="2"/>
      <scheme val="minor"/>
    </font>
    <font>
      <sz val="10"/>
      <name val="Aptos Narrow"/>
      <family val="2"/>
      <scheme val="minor"/>
    </font>
    <font>
      <b/>
      <sz val="14"/>
      <name val="Aptos Narrow"/>
      <family val="2"/>
      <scheme val="minor"/>
    </font>
    <font>
      <sz val="10"/>
      <color theme="1"/>
      <name val="Aptos Narrow"/>
      <family val="2"/>
      <scheme val="minor"/>
    </font>
    <font>
      <b/>
      <sz val="14"/>
      <color indexed="10"/>
      <name val="Arial"/>
      <family val="2"/>
    </font>
    <font>
      <b/>
      <sz val="12"/>
      <color indexed="10"/>
      <name val="Arial"/>
      <family val="2"/>
    </font>
    <font>
      <b/>
      <sz val="16"/>
      <color indexed="10"/>
      <name val="Arial"/>
      <family val="2"/>
    </font>
    <font>
      <b/>
      <sz val="9"/>
      <color indexed="81"/>
      <name val="Tahoma"/>
      <family val="2"/>
    </font>
    <font>
      <sz val="9"/>
      <color indexed="81"/>
      <name val="Tahoma"/>
      <family val="2"/>
    </font>
    <font>
      <sz val="11"/>
      <name val="Times New Roman"/>
      <family val="1"/>
    </font>
    <font>
      <b/>
      <sz val="11"/>
      <name val="Times New Roman"/>
      <family val="1"/>
    </font>
    <font>
      <b/>
      <sz val="11"/>
      <color theme="1"/>
      <name val="Times New Roman"/>
      <family val="1"/>
    </font>
    <font>
      <sz val="11"/>
      <color theme="1"/>
      <name val="Times New Roman"/>
      <family val="1"/>
    </font>
    <font>
      <b/>
      <sz val="11"/>
      <name val="Aptos Narrow"/>
      <family val="2"/>
      <scheme val="minor"/>
    </font>
    <font>
      <sz val="10"/>
      <color theme="1"/>
      <name val="Arial"/>
      <family val="2"/>
    </font>
    <font>
      <u/>
      <sz val="10"/>
      <color theme="1"/>
      <name val="Arial"/>
      <family val="2"/>
    </font>
    <font>
      <sz val="8"/>
      <color theme="1"/>
      <name val="Arial"/>
      <family val="2"/>
    </font>
  </fonts>
  <fills count="16">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indexed="4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EE0000"/>
        <bgColor indexed="64"/>
      </patternFill>
    </fill>
    <fill>
      <patternFill patternType="solid">
        <fgColor theme="3" tint="0.79998168889431442"/>
        <bgColor indexed="64"/>
      </patternFill>
    </fill>
    <fill>
      <patternFill patternType="solid">
        <fgColor rgb="FF00B0F0"/>
        <bgColor indexed="64"/>
      </patternFill>
    </fill>
    <fill>
      <patternFill patternType="solid">
        <fgColor indexed="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thin">
        <color indexed="64"/>
      </left>
      <right/>
      <top/>
      <bottom/>
      <diagonal/>
    </border>
    <border>
      <left/>
      <right/>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xf numFmtId="0" fontId="13" fillId="0" borderId="0" applyNumberFormat="0" applyFill="0" applyBorder="0" applyAlignment="0" applyProtection="0"/>
  </cellStyleXfs>
  <cellXfs count="308">
    <xf numFmtId="0" fontId="0" fillId="0" borderId="0" xfId="0"/>
    <xf numFmtId="0" fontId="0" fillId="0" borderId="1" xfId="0" applyBorder="1"/>
    <xf numFmtId="0" fontId="2" fillId="0" borderId="1" xfId="0" applyFont="1" applyBorder="1"/>
    <xf numFmtId="0" fontId="0" fillId="0" borderId="1" xfId="0" applyBorder="1" applyAlignment="1">
      <alignment wrapText="1"/>
    </xf>
    <xf numFmtId="0" fontId="0" fillId="0" borderId="1" xfId="0" applyBorder="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14" fontId="0" fillId="0" borderId="0" xfId="0" applyNumberFormat="1"/>
    <xf numFmtId="0" fontId="0" fillId="0" borderId="1" xfId="0" applyBorder="1" applyAlignment="1">
      <alignment horizontal="center"/>
    </xf>
    <xf numFmtId="165" fontId="0" fillId="0" borderId="1" xfId="0" applyNumberFormat="1" applyBorder="1"/>
    <xf numFmtId="0" fontId="0" fillId="0" borderId="1" xfId="0" applyBorder="1" applyAlignment="1">
      <alignment horizontal="center" vertical="center"/>
    </xf>
    <xf numFmtId="0" fontId="0" fillId="0" borderId="0" xfId="0" applyAlignment="1">
      <alignment vertical="center"/>
    </xf>
    <xf numFmtId="166" fontId="0" fillId="0" borderId="1" xfId="0" applyNumberFormat="1" applyBorder="1"/>
    <xf numFmtId="0" fontId="2" fillId="0" borderId="0" xfId="0" applyFont="1" applyAlignment="1">
      <alignment horizontal="right"/>
    </xf>
    <xf numFmtId="0" fontId="0" fillId="0" borderId="0" xfId="0" applyAlignment="1">
      <alignment horizontal="right"/>
    </xf>
    <xf numFmtId="0" fontId="3" fillId="0" borderId="2" xfId="0" applyFont="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xf>
    <xf numFmtId="167" fontId="0" fillId="0" borderId="1" xfId="0" applyNumberFormat="1" applyBorder="1" applyAlignment="1">
      <alignment horizontal="center" vertical="center"/>
    </xf>
    <xf numFmtId="14" fontId="0" fillId="0" borderId="1" xfId="0" applyNumberFormat="1" applyBorder="1" applyAlignment="1">
      <alignment horizontal="center" vertical="center" wrapText="1"/>
    </xf>
    <xf numFmtId="0" fontId="0" fillId="0" borderId="1" xfId="0" applyBorder="1" applyAlignment="1">
      <alignment horizontal="right" vertical="center" wrapText="1"/>
    </xf>
    <xf numFmtId="0" fontId="0" fillId="0" borderId="1" xfId="0" applyBorder="1" applyAlignment="1">
      <alignment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167" fontId="2" fillId="0" borderId="0" xfId="0" applyNumberFormat="1" applyFont="1"/>
    <xf numFmtId="0" fontId="0" fillId="0" borderId="0" xfId="0" applyAlignment="1">
      <alignment horizont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wrapText="1"/>
    </xf>
    <xf numFmtId="0" fontId="0" fillId="2" borderId="1" xfId="0" applyFill="1" applyBorder="1" applyAlignment="1">
      <alignment vertical="center"/>
    </xf>
    <xf numFmtId="0" fontId="0" fillId="2" borderId="1" xfId="0" applyFill="1" applyBorder="1" applyAlignment="1">
      <alignment horizontal="center" vertical="center" wrapText="1"/>
    </xf>
    <xf numFmtId="9" fontId="0" fillId="2" borderId="1" xfId="0" applyNumberFormat="1" applyFill="1" applyBorder="1" applyAlignment="1">
      <alignment horizontal="center" vertical="center" wrapText="1"/>
    </xf>
    <xf numFmtId="168" fontId="0" fillId="2" borderId="1" xfId="0" applyNumberFormat="1" applyFill="1" applyBorder="1" applyAlignment="1">
      <alignment horizontal="center" vertical="center" wrapText="1"/>
    </xf>
    <xf numFmtId="167"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0" fontId="0" fillId="2" borderId="1" xfId="0" applyFill="1" applyBorder="1" applyAlignment="1">
      <alignment horizontal="right" vertical="center" wrapText="1"/>
    </xf>
    <xf numFmtId="0" fontId="0" fillId="2" borderId="1" xfId="0" applyFill="1" applyBorder="1" applyAlignment="1">
      <alignment vertical="center" wrapText="1"/>
    </xf>
    <xf numFmtId="168" fontId="0" fillId="2" borderId="1" xfId="0" applyNumberFormat="1" applyFill="1" applyBorder="1" applyAlignment="1">
      <alignment horizontal="right" vertical="center" wrapText="1"/>
    </xf>
    <xf numFmtId="164" fontId="0" fillId="2" borderId="1" xfId="1" applyFont="1" applyFill="1" applyBorder="1"/>
    <xf numFmtId="170" fontId="0" fillId="2" borderId="1" xfId="2" applyNumberFormat="1" applyFont="1" applyFill="1" applyBorder="1" applyAlignment="1">
      <alignment vertical="center"/>
    </xf>
    <xf numFmtId="0" fontId="0" fillId="3" borderId="1" xfId="0" applyFill="1" applyBorder="1" applyAlignment="1">
      <alignment vertical="center"/>
    </xf>
    <xf numFmtId="0" fontId="0" fillId="3" borderId="1" xfId="0" applyFill="1" applyBorder="1" applyAlignment="1">
      <alignment horizontal="center" vertical="center" wrapText="1"/>
    </xf>
    <xf numFmtId="9" fontId="0" fillId="3" borderId="1" xfId="0" applyNumberFormat="1" applyFill="1" applyBorder="1" applyAlignment="1">
      <alignment horizontal="center" vertical="center" wrapText="1"/>
    </xf>
    <xf numFmtId="168" fontId="0" fillId="3" borderId="1" xfId="0" applyNumberFormat="1" applyFill="1" applyBorder="1" applyAlignment="1">
      <alignment horizontal="center" vertical="center" wrapText="1"/>
    </xf>
    <xf numFmtId="168" fontId="2" fillId="0" borderId="1" xfId="0" applyNumberFormat="1" applyFont="1" applyBorder="1" applyAlignment="1">
      <alignment horizontal="right" vertical="center" wrapText="1"/>
    </xf>
    <xf numFmtId="168" fontId="2" fillId="0" borderId="1" xfId="0" applyNumberFormat="1" applyFont="1" applyBorder="1" applyAlignment="1">
      <alignment horizontal="center" vertical="center" wrapText="1"/>
    </xf>
    <xf numFmtId="0" fontId="2" fillId="0" borderId="1" xfId="0" applyFont="1" applyBorder="1" applyAlignment="1">
      <alignment horizontal="right"/>
    </xf>
    <xf numFmtId="164" fontId="0" fillId="0" borderId="1" xfId="0" applyNumberFormat="1" applyBorder="1" applyAlignment="1">
      <alignment vertical="center"/>
    </xf>
    <xf numFmtId="2" fontId="0" fillId="2" borderId="1" xfId="1" applyNumberFormat="1" applyFont="1" applyFill="1" applyBorder="1" applyAlignment="1">
      <alignment horizontal="right" vertical="center" wrapText="1"/>
    </xf>
    <xf numFmtId="9" fontId="0" fillId="0" borderId="1" xfId="0" applyNumberFormat="1" applyBorder="1" applyAlignment="1">
      <alignment horizontal="center" vertical="center" wrapText="1"/>
    </xf>
    <xf numFmtId="164" fontId="0" fillId="0" borderId="1" xfId="1" applyFont="1" applyBorder="1"/>
    <xf numFmtId="170" fontId="0" fillId="0" borderId="1" xfId="2" applyNumberFormat="1" applyFont="1" applyBorder="1" applyAlignment="1">
      <alignment vertical="center"/>
    </xf>
    <xf numFmtId="0" fontId="2" fillId="0" borderId="1" xfId="0" applyFont="1" applyBorder="1" applyAlignment="1">
      <alignment horizontal="right" vertical="center"/>
    </xf>
    <xf numFmtId="171" fontId="0" fillId="0" borderId="1" xfId="1" applyNumberFormat="1" applyFont="1" applyBorder="1" applyAlignment="1">
      <alignment vertical="center"/>
    </xf>
    <xf numFmtId="14" fontId="0" fillId="0" borderId="1" xfId="0" applyNumberFormat="1" applyBorder="1" applyAlignment="1">
      <alignment vertical="center" wrapText="1"/>
    </xf>
    <xf numFmtId="14" fontId="0" fillId="0" borderId="0" xfId="0" applyNumberFormat="1" applyAlignment="1">
      <alignment vertical="center"/>
    </xf>
    <xf numFmtId="171" fontId="2" fillId="0" borderId="1" xfId="0" applyNumberFormat="1" applyFont="1" applyBorder="1"/>
    <xf numFmtId="2" fontId="0" fillId="0" borderId="0" xfId="0" applyNumberFormat="1"/>
    <xf numFmtId="0" fontId="2" fillId="0" borderId="0" xfId="0" applyFont="1"/>
    <xf numFmtId="0" fontId="2" fillId="0" borderId="0" xfId="0" applyFont="1" applyAlignment="1">
      <alignment vertical="center"/>
    </xf>
    <xf numFmtId="2" fontId="2" fillId="0" borderId="0" xfId="0" applyNumberFormat="1" applyFont="1"/>
    <xf numFmtId="2" fontId="0" fillId="0" borderId="1" xfId="0" applyNumberFormat="1" applyBorder="1" applyAlignment="1">
      <alignment wrapText="1"/>
    </xf>
    <xf numFmtId="2" fontId="0" fillId="0" borderId="1" xfId="0" applyNumberFormat="1" applyBorder="1"/>
    <xf numFmtId="2" fontId="0" fillId="0" borderId="1" xfId="0" applyNumberFormat="1" applyBorder="1" applyAlignment="1">
      <alignment vertical="center" wrapText="1"/>
    </xf>
    <xf numFmtId="2" fontId="2" fillId="0" borderId="1" xfId="0" applyNumberFormat="1" applyFont="1" applyBorder="1"/>
    <xf numFmtId="0" fontId="6"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0" fillId="3" borderId="1" xfId="0" applyFill="1" applyBorder="1" applyAlignment="1">
      <alignment horizontal="center" vertical="center"/>
    </xf>
    <xf numFmtId="9" fontId="0" fillId="0" borderId="0" xfId="2" applyFont="1"/>
    <xf numFmtId="0" fontId="0" fillId="0" borderId="7" xfId="0" applyBorder="1" applyAlignment="1">
      <alignment vertical="center" wrapText="1"/>
    </xf>
    <xf numFmtId="0" fontId="0" fillId="0" borderId="11" xfId="0" applyBorder="1" applyAlignment="1">
      <alignment vertical="center" wrapText="1"/>
    </xf>
    <xf numFmtId="164" fontId="0" fillId="0" borderId="0" xfId="1" applyFont="1" applyBorder="1" applyAlignment="1">
      <alignment horizontal="right" vertical="center" wrapText="1"/>
    </xf>
    <xf numFmtId="164" fontId="0" fillId="0" borderId="0" xfId="0" applyNumberFormat="1" applyAlignment="1">
      <alignment vertical="center"/>
    </xf>
    <xf numFmtId="170" fontId="0" fillId="0" borderId="0" xfId="2" applyNumberFormat="1" applyFont="1" applyFill="1" applyBorder="1" applyAlignment="1">
      <alignment vertical="center"/>
    </xf>
    <xf numFmtId="0" fontId="0" fillId="0" borderId="6" xfId="0" applyBorder="1" applyAlignment="1">
      <alignment horizontal="center" vertical="center" wrapText="1"/>
    </xf>
    <xf numFmtId="0" fontId="0" fillId="4" borderId="1" xfId="0" applyFill="1" applyBorder="1" applyAlignment="1">
      <alignment horizontal="center"/>
    </xf>
    <xf numFmtId="0" fontId="0" fillId="4" borderId="1" xfId="0" applyFill="1" applyBorder="1"/>
    <xf numFmtId="0" fontId="2" fillId="4" borderId="1" xfId="0" applyFont="1" applyFill="1" applyBorder="1"/>
    <xf numFmtId="1" fontId="0" fillId="4" borderId="1" xfId="0" applyNumberFormat="1" applyFill="1" applyBorder="1" applyAlignment="1">
      <alignment vertical="center"/>
    </xf>
    <xf numFmtId="0" fontId="0" fillId="4" borderId="1" xfId="0" applyFill="1" applyBorder="1" applyAlignment="1">
      <alignment vertical="center"/>
    </xf>
    <xf numFmtId="0" fontId="0" fillId="0" borderId="1" xfId="0" quotePrefix="1" applyBorder="1"/>
    <xf numFmtId="0" fontId="0" fillId="4" borderId="5" xfId="0" applyFill="1" applyBorder="1"/>
    <xf numFmtId="0" fontId="0" fillId="2" borderId="1" xfId="0" applyFill="1" applyBorder="1" applyAlignment="1">
      <alignment horizontal="center" wrapText="1"/>
    </xf>
    <xf numFmtId="0" fontId="0" fillId="0" borderId="1" xfId="0" applyBorder="1" applyAlignment="1">
      <alignment horizontal="center" wrapText="1"/>
    </xf>
    <xf numFmtId="0" fontId="0" fillId="4" borderId="0" xfId="0" applyFill="1" applyAlignment="1">
      <alignment horizontal="center" vertical="center" wrapText="1"/>
    </xf>
    <xf numFmtId="0" fontId="0" fillId="4" borderId="1" xfId="0" applyFill="1" applyBorder="1" applyAlignment="1">
      <alignment horizontal="center" vertical="center" wrapText="1"/>
    </xf>
    <xf numFmtId="173" fontId="0" fillId="0" borderId="1" xfId="1" applyNumberFormat="1" applyFont="1" applyBorder="1" applyAlignment="1">
      <alignment vertical="center"/>
    </xf>
    <xf numFmtId="173" fontId="2" fillId="0" borderId="1" xfId="1" applyNumberFormat="1" applyFont="1" applyBorder="1"/>
    <xf numFmtId="173" fontId="2" fillId="0" borderId="1" xfId="0" applyNumberFormat="1" applyFont="1" applyBorder="1"/>
    <xf numFmtId="167" fontId="0" fillId="2" borderId="1" xfId="1" applyNumberFormat="1" applyFont="1" applyFill="1" applyBorder="1" applyAlignment="1">
      <alignment horizontal="right" vertical="center" wrapText="1"/>
    </xf>
    <xf numFmtId="167" fontId="0" fillId="3" borderId="1" xfId="0" applyNumberFormat="1" applyFill="1" applyBorder="1" applyAlignment="1">
      <alignment horizontal="center" vertical="center" wrapText="1"/>
    </xf>
    <xf numFmtId="167" fontId="0" fillId="3" borderId="1" xfId="1" applyNumberFormat="1" applyFont="1" applyFill="1" applyBorder="1" applyAlignment="1">
      <alignment horizontal="right" vertical="center" wrapText="1"/>
    </xf>
    <xf numFmtId="14" fontId="0" fillId="3" borderId="1" xfId="0" applyNumberFormat="1" applyFill="1" applyBorder="1" applyAlignment="1">
      <alignment horizontal="center" vertical="center" wrapText="1"/>
    </xf>
    <xf numFmtId="0" fontId="0" fillId="3" borderId="1" xfId="0" applyFill="1" applyBorder="1" applyAlignment="1">
      <alignment horizontal="right" vertical="center" wrapText="1"/>
    </xf>
    <xf numFmtId="0" fontId="0" fillId="3" borderId="1" xfId="0" applyFill="1" applyBorder="1" applyAlignment="1">
      <alignment vertical="center" wrapText="1"/>
    </xf>
    <xf numFmtId="168" fontId="0" fillId="3" borderId="1" xfId="0" applyNumberFormat="1" applyFill="1" applyBorder="1" applyAlignment="1">
      <alignment horizontal="right" vertical="center" wrapText="1"/>
    </xf>
    <xf numFmtId="164" fontId="0" fillId="3" borderId="1" xfId="1" applyFont="1" applyFill="1" applyBorder="1"/>
    <xf numFmtId="170" fontId="0" fillId="3" borderId="1" xfId="2" applyNumberFormat="1" applyFont="1" applyFill="1" applyBorder="1" applyAlignment="1">
      <alignment vertical="center"/>
    </xf>
    <xf numFmtId="0" fontId="0" fillId="3" borderId="2" xfId="0" applyFill="1" applyBorder="1" applyAlignment="1">
      <alignment vertical="center" wrapText="1"/>
    </xf>
    <xf numFmtId="167" fontId="0" fillId="3" borderId="1" xfId="0" applyNumberForma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left" vertical="center" wrapText="1"/>
    </xf>
    <xf numFmtId="0" fontId="0" fillId="5" borderId="1" xfId="0" applyFill="1" applyBorder="1" applyAlignment="1">
      <alignment horizontal="center" vertical="center" wrapText="1"/>
    </xf>
    <xf numFmtId="14" fontId="0" fillId="5" borderId="1" xfId="0" applyNumberFormat="1" applyFill="1" applyBorder="1" applyAlignment="1">
      <alignment horizontal="center" vertical="center" wrapText="1"/>
    </xf>
    <xf numFmtId="167" fontId="0" fillId="5" borderId="1" xfId="0" applyNumberFormat="1"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vertical="center" wrapText="1"/>
    </xf>
    <xf numFmtId="0" fontId="0" fillId="6" borderId="1" xfId="0" applyFill="1" applyBorder="1" applyAlignment="1">
      <alignment horizontal="center" vertical="center" wrapText="1"/>
    </xf>
    <xf numFmtId="168" fontId="0" fillId="6" borderId="1" xfId="0" applyNumberFormat="1" applyFill="1" applyBorder="1" applyAlignment="1">
      <alignment horizontal="center" vertical="center" wrapText="1"/>
    </xf>
    <xf numFmtId="169" fontId="0" fillId="6" borderId="1" xfId="1" applyNumberFormat="1" applyFont="1" applyFill="1" applyBorder="1" applyAlignment="1">
      <alignment horizontal="right" vertical="center" wrapText="1"/>
    </xf>
    <xf numFmtId="14" fontId="0" fillId="6" borderId="1" xfId="0" applyNumberFormat="1" applyFill="1" applyBorder="1" applyAlignment="1">
      <alignment horizontal="center" vertical="center" wrapText="1"/>
    </xf>
    <xf numFmtId="0" fontId="0" fillId="6" borderId="1" xfId="0" applyFill="1" applyBorder="1" applyAlignment="1">
      <alignment vertical="center" wrapText="1"/>
    </xf>
    <xf numFmtId="168" fontId="0" fillId="6" borderId="1" xfId="0" applyNumberFormat="1" applyFill="1" applyBorder="1" applyAlignment="1">
      <alignment horizontal="right" vertical="center" wrapText="1"/>
    </xf>
    <xf numFmtId="167" fontId="0" fillId="6" borderId="1" xfId="0" applyNumberFormat="1" applyFill="1" applyBorder="1" applyAlignment="1">
      <alignment horizontal="center" vertical="center"/>
    </xf>
    <xf numFmtId="0" fontId="0" fillId="6" borderId="1" xfId="0" applyFill="1" applyBorder="1" applyAlignment="1">
      <alignment horizontal="left" vertical="center" wrapText="1"/>
    </xf>
    <xf numFmtId="2" fontId="0" fillId="6" borderId="1" xfId="0" applyNumberFormat="1" applyFill="1" applyBorder="1" applyAlignment="1">
      <alignment horizontal="center" vertical="center" wrapText="1"/>
    </xf>
    <xf numFmtId="167" fontId="0" fillId="6" borderId="1" xfId="1" applyNumberFormat="1" applyFont="1" applyFill="1" applyBorder="1" applyAlignment="1">
      <alignment horizontal="right" vertical="center" wrapText="1"/>
    </xf>
    <xf numFmtId="0" fontId="0" fillId="6" borderId="1" xfId="0" applyFill="1" applyBorder="1" applyAlignment="1">
      <alignment horizontal="right" vertical="center" wrapText="1"/>
    </xf>
    <xf numFmtId="167" fontId="0" fillId="6" borderId="1" xfId="1" applyNumberFormat="1" applyFont="1" applyFill="1" applyBorder="1" applyAlignment="1">
      <alignment horizontal="right" wrapText="1"/>
    </xf>
    <xf numFmtId="167" fontId="0" fillId="6" borderId="1" xfId="1" applyNumberFormat="1" applyFont="1" applyFill="1" applyBorder="1" applyAlignment="1">
      <alignment horizontal="center" vertical="center" wrapText="1"/>
    </xf>
    <xf numFmtId="167" fontId="0" fillId="6" borderId="1" xfId="0" applyNumberFormat="1" applyFill="1" applyBorder="1" applyAlignment="1">
      <alignment horizontal="center" vertical="center" wrapText="1"/>
    </xf>
    <xf numFmtId="0" fontId="0" fillId="7" borderId="1" xfId="0" applyFill="1" applyBorder="1" applyAlignment="1">
      <alignment horizontal="center" vertical="center"/>
    </xf>
    <xf numFmtId="0" fontId="0" fillId="7" borderId="1" xfId="0" applyFill="1" applyBorder="1" applyAlignment="1">
      <alignment horizontal="left" vertical="center" wrapText="1"/>
    </xf>
    <xf numFmtId="0" fontId="0" fillId="7" borderId="1" xfId="0" applyFill="1" applyBorder="1" applyAlignment="1">
      <alignment horizontal="center" vertical="center" wrapText="1"/>
    </xf>
    <xf numFmtId="167" fontId="0" fillId="7" borderId="1" xfId="0" applyNumberFormat="1" applyFill="1" applyBorder="1" applyAlignment="1">
      <alignment horizontal="center" vertical="center"/>
    </xf>
    <xf numFmtId="0" fontId="0" fillId="3" borderId="1" xfId="0" applyFill="1" applyBorder="1" applyAlignment="1">
      <alignment horizontal="left" vertical="center" wrapText="1"/>
    </xf>
    <xf numFmtId="0" fontId="0" fillId="6" borderId="1" xfId="0" applyFill="1" applyBorder="1" applyAlignment="1">
      <alignment vertical="center"/>
    </xf>
    <xf numFmtId="9" fontId="0" fillId="6" borderId="1" xfId="0" applyNumberFormat="1" applyFill="1" applyBorder="1" applyAlignment="1">
      <alignment horizontal="center" vertical="center" wrapText="1"/>
    </xf>
    <xf numFmtId="164" fontId="0" fillId="6" borderId="1" xfId="1" applyFont="1" applyFill="1" applyBorder="1"/>
    <xf numFmtId="170" fontId="0" fillId="6" borderId="1" xfId="2" applyNumberFormat="1" applyFont="1" applyFill="1" applyBorder="1" applyAlignment="1">
      <alignment vertical="center"/>
    </xf>
    <xf numFmtId="2" fontId="0" fillId="6" borderId="1" xfId="1" applyNumberFormat="1" applyFont="1" applyFill="1" applyBorder="1" applyAlignment="1">
      <alignment horizontal="right" vertical="center" wrapText="1"/>
    </xf>
    <xf numFmtId="0" fontId="0" fillId="6" borderId="1" xfId="0" quotePrefix="1" applyFill="1" applyBorder="1" applyAlignment="1">
      <alignment horizontal="right" vertical="center" wrapText="1"/>
    </xf>
    <xf numFmtId="0" fontId="0" fillId="5" borderId="1" xfId="0" applyFill="1" applyBorder="1" applyAlignment="1">
      <alignment vertical="center"/>
    </xf>
    <xf numFmtId="9" fontId="0" fillId="5" borderId="1" xfId="0" applyNumberFormat="1" applyFill="1" applyBorder="1" applyAlignment="1">
      <alignment horizontal="center" vertical="center" wrapText="1"/>
    </xf>
    <xf numFmtId="168" fontId="0" fillId="5" borderId="1" xfId="0" applyNumberFormat="1" applyFill="1" applyBorder="1" applyAlignment="1">
      <alignment horizontal="center" vertical="center" wrapText="1"/>
    </xf>
    <xf numFmtId="2" fontId="0" fillId="5" borderId="1" xfId="1" applyNumberFormat="1" applyFont="1" applyFill="1" applyBorder="1" applyAlignment="1">
      <alignment horizontal="right" vertical="center" wrapText="1"/>
    </xf>
    <xf numFmtId="0" fontId="0" fillId="5" borderId="1" xfId="0" applyFill="1" applyBorder="1" applyAlignment="1">
      <alignment horizontal="right" vertical="center" wrapText="1"/>
    </xf>
    <xf numFmtId="0" fontId="0" fillId="5" borderId="1" xfId="0" applyFill="1" applyBorder="1" applyAlignment="1">
      <alignment vertical="center" wrapText="1"/>
    </xf>
    <xf numFmtId="168" fontId="0" fillId="5" borderId="1" xfId="0" applyNumberFormat="1" applyFill="1" applyBorder="1" applyAlignment="1">
      <alignment horizontal="right" vertical="center" wrapText="1"/>
    </xf>
    <xf numFmtId="164" fontId="0" fillId="5" borderId="1" xfId="1" applyFont="1" applyFill="1" applyBorder="1"/>
    <xf numFmtId="170" fontId="0" fillId="5" borderId="1" xfId="2" applyNumberFormat="1" applyFont="1" applyFill="1" applyBorder="1" applyAlignment="1">
      <alignment vertical="center"/>
    </xf>
    <xf numFmtId="0" fontId="2" fillId="0" borderId="1" xfId="0" applyFont="1" applyBorder="1" applyAlignment="1">
      <alignment vertical="center" wrapText="1"/>
    </xf>
    <xf numFmtId="0" fontId="1" fillId="0" borderId="1" xfId="3" applyBorder="1" applyAlignment="1">
      <alignment vertical="center"/>
    </xf>
    <xf numFmtId="14" fontId="1" fillId="0" borderId="1" xfId="3" applyNumberFormat="1" applyBorder="1" applyAlignment="1">
      <alignment vertical="center" wrapText="1"/>
    </xf>
    <xf numFmtId="0" fontId="0" fillId="0" borderId="6" xfId="0" applyBorder="1" applyAlignment="1">
      <alignment vertical="center"/>
    </xf>
    <xf numFmtId="0" fontId="0" fillId="0" borderId="6" xfId="0" applyBorder="1" applyAlignment="1">
      <alignment vertical="center" wrapText="1"/>
    </xf>
    <xf numFmtId="171" fontId="0" fillId="0" borderId="6" xfId="1" applyNumberFormat="1" applyFont="1" applyBorder="1" applyAlignment="1">
      <alignment vertical="center"/>
    </xf>
    <xf numFmtId="0" fontId="8" fillId="0" borderId="1" xfId="0" applyFont="1" applyBorder="1" applyAlignment="1">
      <alignment vertical="center" wrapText="1"/>
    </xf>
    <xf numFmtId="0" fontId="9" fillId="0" borderId="1" xfId="0" applyFont="1" applyBorder="1" applyAlignment="1">
      <alignment vertical="center" wrapText="1"/>
    </xf>
    <xf numFmtId="0" fontId="0" fillId="0" borderId="1" xfId="0" applyBorder="1" applyAlignment="1">
      <alignment horizontal="left" wrapText="1"/>
    </xf>
    <xf numFmtId="2" fontId="5" fillId="0" borderId="1" xfId="0" applyNumberFormat="1" applyFont="1" applyBorder="1"/>
    <xf numFmtId="0" fontId="4" fillId="0" borderId="1" xfId="0" applyFont="1" applyBorder="1" applyAlignment="1">
      <alignment horizontal="right" vertical="center" wrapText="1"/>
    </xf>
    <xf numFmtId="2" fontId="5" fillId="0" borderId="1" xfId="0" applyNumberFormat="1" applyFont="1" applyBorder="1" applyAlignment="1">
      <alignment horizontal="right" vertical="center" wrapText="1"/>
    </xf>
    <xf numFmtId="0" fontId="2" fillId="2" borderId="1" xfId="0" applyFont="1" applyFill="1" applyBorder="1"/>
    <xf numFmtId="2" fontId="2" fillId="2" borderId="1" xfId="0" applyNumberFormat="1" applyFont="1" applyFill="1" applyBorder="1"/>
    <xf numFmtId="172" fontId="0" fillId="0" borderId="1" xfId="0" applyNumberFormat="1" applyBorder="1"/>
    <xf numFmtId="14" fontId="0" fillId="0" borderId="1" xfId="3" applyNumberFormat="1" applyFont="1" applyBorder="1" applyAlignment="1">
      <alignment vertical="center" wrapText="1"/>
    </xf>
    <xf numFmtId="0" fontId="0" fillId="2" borderId="1" xfId="0" applyFill="1" applyBorder="1" applyAlignment="1">
      <alignment horizontal="center" vertical="center"/>
    </xf>
    <xf numFmtId="173" fontId="0" fillId="2" borderId="1" xfId="1" applyNumberFormat="1" applyFont="1" applyFill="1" applyBorder="1" applyAlignment="1">
      <alignment vertical="center"/>
    </xf>
    <xf numFmtId="0" fontId="0" fillId="2" borderId="7" xfId="0" applyFill="1" applyBorder="1" applyAlignment="1">
      <alignment vertical="center" wrapText="1"/>
    </xf>
    <xf numFmtId="0" fontId="0" fillId="2" borderId="1" xfId="0" applyFill="1" applyBorder="1"/>
    <xf numFmtId="2" fontId="0" fillId="3" borderId="1" xfId="1" applyNumberFormat="1" applyFont="1" applyFill="1" applyBorder="1" applyAlignment="1">
      <alignment horizontal="right" vertical="center" wrapText="1"/>
    </xf>
    <xf numFmtId="174" fontId="7" fillId="0" borderId="10" xfId="0" applyNumberFormat="1" applyFont="1" applyBorder="1" applyAlignment="1">
      <alignment horizontal="center" vertical="center" wrapText="1"/>
    </xf>
    <xf numFmtId="0" fontId="0" fillId="0" borderId="0" xfId="0" applyAlignment="1">
      <alignment wrapText="1"/>
    </xf>
    <xf numFmtId="0" fontId="10" fillId="0" borderId="0" xfId="0" applyFont="1" applyAlignment="1">
      <alignment wrapText="1"/>
    </xf>
    <xf numFmtId="0" fontId="0" fillId="8" borderId="1" xfId="0" applyFill="1" applyBorder="1" applyAlignment="1">
      <alignment vertical="center"/>
    </xf>
    <xf numFmtId="0" fontId="0" fillId="8" borderId="1" xfId="0" applyFill="1" applyBorder="1" applyAlignment="1">
      <alignment horizontal="center" vertical="center" wrapText="1"/>
    </xf>
    <xf numFmtId="9" fontId="0" fillId="8" borderId="1" xfId="0" applyNumberFormat="1" applyFill="1" applyBorder="1" applyAlignment="1">
      <alignment horizontal="center" vertical="center" wrapText="1"/>
    </xf>
    <xf numFmtId="168" fontId="0" fillId="8" borderId="1" xfId="0" applyNumberFormat="1" applyFill="1" applyBorder="1" applyAlignment="1">
      <alignment horizontal="center" vertical="center" wrapText="1"/>
    </xf>
    <xf numFmtId="167" fontId="0" fillId="8" borderId="1" xfId="0" applyNumberFormat="1" applyFill="1" applyBorder="1" applyAlignment="1">
      <alignment horizontal="center" vertical="center" wrapText="1"/>
    </xf>
    <xf numFmtId="167" fontId="0" fillId="8" borderId="1" xfId="1" applyNumberFormat="1" applyFont="1" applyFill="1" applyBorder="1" applyAlignment="1">
      <alignment horizontal="right" vertical="center" wrapText="1"/>
    </xf>
    <xf numFmtId="14" fontId="0" fillId="8" borderId="1" xfId="0" applyNumberFormat="1" applyFill="1" applyBorder="1" applyAlignment="1">
      <alignment horizontal="center" vertical="center" wrapText="1"/>
    </xf>
    <xf numFmtId="0" fontId="0" fillId="8" borderId="1" xfId="0" applyFill="1" applyBorder="1" applyAlignment="1">
      <alignment horizontal="right" vertical="center" wrapText="1"/>
    </xf>
    <xf numFmtId="0" fontId="0" fillId="8" borderId="1" xfId="0" applyFill="1" applyBorder="1" applyAlignment="1">
      <alignment vertical="center" wrapText="1"/>
    </xf>
    <xf numFmtId="168" fontId="0" fillId="8" borderId="1" xfId="0" applyNumberFormat="1" applyFill="1" applyBorder="1" applyAlignment="1">
      <alignment horizontal="right" vertical="center" wrapText="1"/>
    </xf>
    <xf numFmtId="164" fontId="0" fillId="8" borderId="1" xfId="1" applyFont="1" applyFill="1" applyBorder="1"/>
    <xf numFmtId="170" fontId="0" fillId="8" borderId="1" xfId="2" applyNumberFormat="1" applyFont="1" applyFill="1" applyBorder="1" applyAlignment="1">
      <alignment vertical="center"/>
    </xf>
    <xf numFmtId="0" fontId="0" fillId="3" borderId="1" xfId="0" applyFill="1" applyBorder="1" applyAlignment="1">
      <alignment horizontal="center" vertical="center" wrapText="1"/>
    </xf>
    <xf numFmtId="0" fontId="2" fillId="0" borderId="1" xfId="0" applyFont="1" applyBorder="1" applyAlignment="1">
      <alignment horizontal="center"/>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center" wrapText="1"/>
    </xf>
    <xf numFmtId="0" fontId="0" fillId="0" borderId="0" xfId="0" applyAlignment="1">
      <alignment horizontal="left" wrapText="1"/>
    </xf>
    <xf numFmtId="0" fontId="2" fillId="0" borderId="1" xfId="0" applyFont="1" applyBorder="1" applyAlignment="1">
      <alignment horizontal="center" vertical="center" wrapText="1"/>
    </xf>
    <xf numFmtId="0" fontId="0" fillId="7" borderId="1" xfId="0" applyFill="1" applyBorder="1" applyAlignment="1">
      <alignment horizontal="center" vertical="center" wrapText="1"/>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6" borderId="1" xfId="0" applyFill="1" applyBorder="1" applyAlignment="1">
      <alignment horizontal="center" vertical="center" wrapText="1"/>
    </xf>
    <xf numFmtId="0" fontId="0" fillId="6" borderId="2" xfId="0" applyFill="1" applyBorder="1" applyAlignment="1">
      <alignment horizontal="center" vertical="center" wrapText="1"/>
    </xf>
    <xf numFmtId="0" fontId="0" fillId="6" borderId="4" xfId="0" applyFill="1" applyBorder="1" applyAlignment="1">
      <alignment horizontal="center" vertical="center" wrapText="1"/>
    </xf>
    <xf numFmtId="0" fontId="0" fillId="5" borderId="1" xfId="0" applyFill="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0" fillId="0" borderId="7" xfId="0" applyBorder="1" applyAlignment="1">
      <alignment horizontal="center" vertical="center" wrapText="1"/>
    </xf>
    <xf numFmtId="0" fontId="0" fillId="0" borderId="6" xfId="0" applyBorder="1" applyAlignment="1">
      <alignment horizontal="center" vertical="center" wrapText="1"/>
    </xf>
    <xf numFmtId="0" fontId="2" fillId="0" borderId="7" xfId="0" applyFont="1" applyBorder="1" applyAlignment="1">
      <alignment horizontal="center" vertical="center"/>
    </xf>
    <xf numFmtId="0" fontId="2" fillId="0" borderId="6" xfId="0" applyFont="1" applyBorder="1" applyAlignment="1">
      <alignment horizontal="center" vertical="center"/>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8" borderId="2" xfId="0" applyFill="1" applyBorder="1" applyAlignment="1">
      <alignment horizontal="left" vertical="center" wrapText="1"/>
    </xf>
    <xf numFmtId="0" fontId="0" fillId="8" borderId="3" xfId="0" applyFill="1" applyBorder="1" applyAlignment="1">
      <alignment horizontal="left" vertical="center" wrapText="1"/>
    </xf>
    <xf numFmtId="0" fontId="0" fillId="8" borderId="4" xfId="0" applyFill="1" applyBorder="1" applyAlignment="1">
      <alignment horizontal="left" vertical="center" wrapText="1"/>
    </xf>
    <xf numFmtId="0" fontId="0" fillId="6" borderId="2" xfId="0" applyFill="1" applyBorder="1" applyAlignment="1">
      <alignment horizontal="left" vertical="center" wrapText="1"/>
    </xf>
    <xf numFmtId="0" fontId="0" fillId="6" borderId="3" xfId="0" applyFill="1" applyBorder="1" applyAlignment="1">
      <alignment horizontal="left" vertical="center" wrapText="1"/>
    </xf>
    <xf numFmtId="0" fontId="0" fillId="6" borderId="4" xfId="0" applyFill="1" applyBorder="1" applyAlignment="1">
      <alignment horizontal="left" vertical="center" wrapText="1"/>
    </xf>
    <xf numFmtId="0" fontId="0" fillId="6" borderId="1" xfId="0" applyFill="1" applyBorder="1" applyAlignment="1">
      <alignment horizontal="left" vertical="center" wrapText="1"/>
    </xf>
    <xf numFmtId="0" fontId="0" fillId="3" borderId="1" xfId="0" applyFill="1" applyBorder="1" applyAlignment="1">
      <alignment horizontal="left" vertical="center" wrapText="1"/>
    </xf>
    <xf numFmtId="0" fontId="0" fillId="5" borderId="2" xfId="0" applyFill="1" applyBorder="1" applyAlignment="1">
      <alignment horizontal="left"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1" xfId="0" applyFill="1" applyBorder="1" applyAlignment="1">
      <alignment horizontal="left" vertical="center" wrapText="1"/>
    </xf>
    <xf numFmtId="0" fontId="0" fillId="0" borderId="1" xfId="0" applyBorder="1" applyAlignment="1">
      <alignment horizontal="left" wrapText="1"/>
    </xf>
    <xf numFmtId="0" fontId="1" fillId="0" borderId="1" xfId="3" applyBorder="1" applyAlignment="1">
      <alignment horizontal="center"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3"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9" borderId="2" xfId="0" applyFont="1" applyFill="1" applyBorder="1" applyAlignment="1" applyProtection="1">
      <alignment horizontal="center" vertical="center" wrapText="1"/>
      <protection locked="0"/>
    </xf>
    <xf numFmtId="0" fontId="14" fillId="9" borderId="3" xfId="0" applyFont="1" applyFill="1" applyBorder="1" applyAlignment="1" applyProtection="1">
      <alignment horizontal="center" vertical="center" wrapText="1"/>
      <protection locked="0"/>
    </xf>
    <xf numFmtId="0" fontId="14" fillId="9" borderId="4" xfId="0" applyFont="1" applyFill="1" applyBorder="1" applyAlignment="1" applyProtection="1">
      <alignment horizontal="center" vertical="center" wrapText="1"/>
      <protection locked="0"/>
    </xf>
    <xf numFmtId="0" fontId="14" fillId="0" borderId="7"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vertical="center"/>
    </xf>
    <xf numFmtId="0" fontId="14" fillId="0" borderId="6" xfId="0" applyFont="1" applyBorder="1" applyAlignment="1">
      <alignment horizontal="center" vertical="center" wrapText="1"/>
    </xf>
    <xf numFmtId="0" fontId="16" fillId="0" borderId="1" xfId="0" applyFont="1" applyBorder="1" applyAlignment="1">
      <alignment horizontal="center" vertical="center" wrapText="1"/>
    </xf>
    <xf numFmtId="0" fontId="17" fillId="0" borderId="1" xfId="0" applyFont="1" applyBorder="1" applyAlignment="1" applyProtection="1">
      <alignment horizontal="center" vertical="center" wrapText="1"/>
      <protection locked="0"/>
    </xf>
    <xf numFmtId="0" fontId="17" fillId="0" borderId="1" xfId="0" applyFont="1" applyBorder="1" applyAlignment="1" applyProtection="1">
      <alignment vertical="center" wrapText="1"/>
      <protection locked="0"/>
    </xf>
    <xf numFmtId="175" fontId="17" fillId="10" borderId="1" xfId="1" applyNumberFormat="1" applyFont="1" applyFill="1" applyBorder="1" applyAlignment="1" applyProtection="1">
      <alignment horizontal="center" vertical="center" wrapText="1"/>
      <protection locked="0"/>
    </xf>
    <xf numFmtId="175" fontId="17" fillId="0" borderId="1" xfId="1" applyNumberFormat="1" applyFont="1" applyFill="1" applyBorder="1" applyAlignment="1" applyProtection="1">
      <alignment horizontal="center" vertical="center" wrapText="1"/>
      <protection locked="0"/>
    </xf>
    <xf numFmtId="175" fontId="17" fillId="11" borderId="1" xfId="1" applyNumberFormat="1" applyFont="1" applyFill="1" applyBorder="1" applyAlignment="1" applyProtection="1">
      <alignment horizontal="center" vertical="center" wrapText="1"/>
      <protection locked="0"/>
    </xf>
    <xf numFmtId="0" fontId="15" fillId="0" borderId="1" xfId="0" applyFont="1" applyBorder="1" applyAlignment="1">
      <alignment vertical="center" wrapText="1"/>
    </xf>
    <xf numFmtId="0" fontId="18" fillId="0" borderId="0" xfId="0" applyFont="1"/>
    <xf numFmtId="175" fontId="16" fillId="0" borderId="1" xfId="1" applyNumberFormat="1" applyFont="1" applyFill="1" applyBorder="1" applyAlignment="1" applyProtection="1">
      <alignment horizontal="center" vertical="center" wrapText="1"/>
      <protection locked="0"/>
    </xf>
    <xf numFmtId="175" fontId="17" fillId="12" borderId="1" xfId="1" applyNumberFormat="1" applyFont="1" applyFill="1" applyBorder="1" applyAlignment="1" applyProtection="1">
      <alignment horizontal="center" vertical="center" wrapText="1"/>
      <protection locked="0"/>
    </xf>
    <xf numFmtId="0" fontId="0" fillId="0" borderId="1" xfId="0" applyBorder="1" applyAlignment="1">
      <alignment horizontal="left" vertical="center" wrapText="1"/>
    </xf>
    <xf numFmtId="175" fontId="17" fillId="2" borderId="1" xfId="1" applyNumberFormat="1" applyFont="1" applyFill="1" applyBorder="1" applyAlignment="1" applyProtection="1">
      <alignment horizontal="center" vertical="center" wrapText="1"/>
      <protection locked="0"/>
    </xf>
    <xf numFmtId="0" fontId="16" fillId="11" borderId="1" xfId="0" applyFont="1" applyFill="1" applyBorder="1" applyAlignment="1" applyProtection="1">
      <alignment horizontal="center" vertical="center" wrapText="1"/>
      <protection locked="0"/>
    </xf>
    <xf numFmtId="0" fontId="16" fillId="11" borderId="1" xfId="0" applyFont="1" applyFill="1" applyBorder="1" applyAlignment="1" applyProtection="1">
      <alignment horizontal="right" vertical="center" wrapText="1"/>
      <protection locked="0"/>
    </xf>
    <xf numFmtId="175" fontId="16" fillId="11" borderId="1" xfId="1" applyNumberFormat="1" applyFont="1" applyFill="1" applyBorder="1" applyAlignment="1" applyProtection="1">
      <alignment horizontal="center" vertical="center" wrapText="1"/>
      <protection locked="0"/>
    </xf>
    <xf numFmtId="0" fontId="15" fillId="11" borderId="1" xfId="0" applyFont="1" applyFill="1" applyBorder="1" applyAlignment="1">
      <alignment vertical="center"/>
    </xf>
    <xf numFmtId="0" fontId="13" fillId="0" borderId="0" xfId="5"/>
    <xf numFmtId="0" fontId="16" fillId="6" borderId="1" xfId="0" applyFont="1" applyFill="1" applyBorder="1" applyAlignment="1" applyProtection="1">
      <alignment horizontal="center" vertical="center" wrapText="1"/>
      <protection locked="0"/>
    </xf>
    <xf numFmtId="0" fontId="16" fillId="6" borderId="1" xfId="0" applyFont="1" applyFill="1" applyBorder="1" applyAlignment="1" applyProtection="1">
      <alignment horizontal="right" vertical="center" wrapText="1"/>
      <protection locked="0"/>
    </xf>
    <xf numFmtId="175" fontId="16" fillId="6" borderId="1" xfId="1" applyNumberFormat="1" applyFont="1" applyFill="1" applyBorder="1" applyAlignment="1" applyProtection="1">
      <alignment horizontal="center" vertical="center" wrapText="1"/>
      <protection locked="0"/>
    </xf>
    <xf numFmtId="0" fontId="16" fillId="6" borderId="1" xfId="0" applyFont="1" applyFill="1" applyBorder="1" applyAlignment="1" applyProtection="1">
      <alignment vertical="center" wrapText="1"/>
      <protection locked="0"/>
    </xf>
    <xf numFmtId="0" fontId="15" fillId="6" borderId="1" xfId="0" applyFont="1" applyFill="1" applyBorder="1" applyAlignment="1">
      <alignment vertical="center"/>
    </xf>
    <xf numFmtId="0" fontId="16" fillId="3" borderId="1" xfId="0" applyFont="1" applyFill="1" applyBorder="1" applyAlignment="1" applyProtection="1">
      <alignment horizontal="center" vertical="center" wrapText="1"/>
      <protection locked="0"/>
    </xf>
    <xf numFmtId="0" fontId="16" fillId="3" borderId="1" xfId="0" applyFont="1" applyFill="1" applyBorder="1" applyAlignment="1" applyProtection="1">
      <alignment horizontal="right" vertical="center" wrapText="1"/>
      <protection locked="0"/>
    </xf>
    <xf numFmtId="175" fontId="16" fillId="3" borderId="1" xfId="1" applyNumberFormat="1" applyFont="1" applyFill="1" applyBorder="1" applyAlignment="1" applyProtection="1">
      <alignment horizontal="center" vertical="center" wrapText="1"/>
      <protection locked="0"/>
    </xf>
    <xf numFmtId="0" fontId="16" fillId="3" borderId="1" xfId="0" applyFont="1" applyFill="1" applyBorder="1" applyAlignment="1" applyProtection="1">
      <alignment vertical="center" wrapText="1"/>
      <protection locked="0"/>
    </xf>
    <xf numFmtId="0" fontId="16" fillId="13" borderId="1" xfId="0" applyFont="1" applyFill="1" applyBorder="1" applyAlignment="1" applyProtection="1">
      <alignment horizontal="center" vertical="center" wrapText="1"/>
      <protection locked="0"/>
    </xf>
    <xf numFmtId="0" fontId="16" fillId="13" borderId="1" xfId="0" applyFont="1" applyFill="1" applyBorder="1" applyAlignment="1" applyProtection="1">
      <alignment horizontal="right" vertical="center" wrapText="1"/>
      <protection locked="0"/>
    </xf>
    <xf numFmtId="175" fontId="16" fillId="13" borderId="1" xfId="1" applyNumberFormat="1" applyFont="1" applyFill="1" applyBorder="1" applyAlignment="1" applyProtection="1">
      <alignment horizontal="center" vertical="center" wrapText="1"/>
      <protection locked="0"/>
    </xf>
    <xf numFmtId="0" fontId="16" fillId="13" borderId="1" xfId="0" applyFont="1" applyFill="1" applyBorder="1" applyAlignment="1" applyProtection="1">
      <alignment vertical="center" wrapText="1"/>
      <protection locked="0"/>
    </xf>
    <xf numFmtId="0" fontId="13" fillId="0" borderId="1" xfId="5" applyBorder="1" applyAlignment="1">
      <alignment vertical="center" wrapText="1"/>
    </xf>
    <xf numFmtId="164" fontId="17" fillId="10" borderId="1" xfId="1" applyFont="1" applyFill="1" applyBorder="1" applyAlignment="1" applyProtection="1">
      <alignment horizontal="center" vertical="center" wrapText="1"/>
      <protection locked="0"/>
    </xf>
    <xf numFmtId="0" fontId="19" fillId="0" borderId="1" xfId="0" applyFont="1" applyBorder="1" applyAlignment="1">
      <alignment horizontal="left"/>
    </xf>
    <xf numFmtId="175" fontId="20" fillId="14" borderId="1" xfId="0" applyNumberFormat="1" applyFont="1" applyFill="1" applyBorder="1" applyAlignment="1">
      <alignment horizontal="left"/>
    </xf>
    <xf numFmtId="175" fontId="19" fillId="0" borderId="1" xfId="0" applyNumberFormat="1" applyFont="1" applyBorder="1" applyAlignment="1">
      <alignment horizontal="left"/>
    </xf>
    <xf numFmtId="0" fontId="21" fillId="0" borderId="0" xfId="0" applyFont="1" applyAlignment="1">
      <alignment horizontal="left"/>
    </xf>
    <xf numFmtId="164" fontId="21" fillId="0" borderId="0" xfId="0" applyNumberFormat="1" applyFont="1" applyAlignment="1">
      <alignment horizontal="left"/>
    </xf>
    <xf numFmtId="1" fontId="22" fillId="15" borderId="0" xfId="0" applyNumberFormat="1" applyFont="1" applyFill="1" applyAlignment="1">
      <alignment vertical="center" wrapText="1"/>
    </xf>
    <xf numFmtId="0" fontId="0" fillId="0" borderId="0" xfId="0" applyAlignment="1">
      <alignment vertical="center" wrapText="1"/>
    </xf>
    <xf numFmtId="0" fontId="21" fillId="0" borderId="1" xfId="0" applyFont="1" applyBorder="1" applyAlignment="1">
      <alignment horizontal="left"/>
    </xf>
    <xf numFmtId="0" fontId="21" fillId="0" borderId="1" xfId="0" applyFont="1" applyBorder="1" applyAlignment="1">
      <alignment horizontal="right"/>
    </xf>
    <xf numFmtId="2" fontId="21" fillId="0" borderId="1" xfId="0" applyNumberFormat="1" applyFont="1" applyBorder="1" applyAlignment="1">
      <alignment horizontal="left"/>
    </xf>
    <xf numFmtId="175" fontId="21" fillId="0" borderId="1" xfId="0" applyNumberFormat="1" applyFont="1" applyBorder="1" applyAlignment="1">
      <alignment horizontal="left"/>
    </xf>
    <xf numFmtId="168" fontId="23" fillId="15" borderId="1" xfId="0" applyNumberFormat="1" applyFont="1" applyFill="1" applyBorder="1" applyAlignment="1">
      <alignment horizontal="right" vertical="center" wrapText="1"/>
    </xf>
    <xf numFmtId="9" fontId="21" fillId="0" borderId="1" xfId="0" applyNumberFormat="1" applyFont="1" applyBorder="1" applyAlignment="1">
      <alignment horizontal="left"/>
    </xf>
    <xf numFmtId="1" fontId="24" fillId="15" borderId="1" xfId="0" applyNumberFormat="1" applyFont="1" applyFill="1" applyBorder="1" applyAlignment="1">
      <alignment horizontal="right" vertical="center" wrapText="1"/>
    </xf>
    <xf numFmtId="0" fontId="21" fillId="0" borderId="0" xfId="0" applyFont="1" applyAlignment="1">
      <alignment horizontal="center"/>
    </xf>
    <xf numFmtId="1" fontId="21" fillId="0" borderId="0" xfId="0" applyNumberFormat="1" applyFont="1" applyAlignment="1">
      <alignment horizontal="center"/>
    </xf>
    <xf numFmtId="43" fontId="21" fillId="0" borderId="0" xfId="0" applyNumberFormat="1" applyFont="1" applyAlignment="1">
      <alignment horizontal="center"/>
    </xf>
    <xf numFmtId="0" fontId="2" fillId="0" borderId="0" xfId="0" applyFont="1" applyAlignment="1">
      <alignment wrapText="1"/>
    </xf>
    <xf numFmtId="167" fontId="0" fillId="5" borderId="1" xfId="0" applyNumberFormat="1" applyFill="1" applyBorder="1" applyAlignment="1">
      <alignment horizontal="center" vertical="center" wrapText="1"/>
    </xf>
    <xf numFmtId="168" fontId="2" fillId="0" borderId="1" xfId="0" applyNumberFormat="1" applyFont="1" applyBorder="1"/>
    <xf numFmtId="0" fontId="27" fillId="0" borderId="1" xfId="0" applyFont="1" applyBorder="1" applyAlignment="1">
      <alignment horizontal="left" vertical="center" wrapText="1" readingOrder="1"/>
    </xf>
    <xf numFmtId="0" fontId="27" fillId="0" borderId="1" xfId="0" applyFont="1" applyBorder="1" applyAlignment="1">
      <alignment horizontal="center" vertical="center" wrapText="1" readingOrder="1"/>
    </xf>
    <xf numFmtId="0" fontId="28" fillId="0" borderId="1" xfId="0" applyFont="1" applyBorder="1" applyAlignment="1">
      <alignment horizontal="center" vertical="center" wrapText="1" readingOrder="1"/>
    </xf>
    <xf numFmtId="0" fontId="29" fillId="0" borderId="12" xfId="0" applyFont="1" applyBorder="1" applyAlignment="1">
      <alignment horizontal="center"/>
    </xf>
    <xf numFmtId="0" fontId="30" fillId="0" borderId="12" xfId="0" applyFont="1" applyBorder="1" applyAlignment="1">
      <alignment horizontal="center"/>
    </xf>
    <xf numFmtId="0" fontId="2" fillId="0" borderId="0" xfId="0" applyFont="1" applyAlignment="1">
      <alignment horizontal="center" wrapText="1"/>
    </xf>
    <xf numFmtId="0" fontId="31" fillId="0" borderId="0" xfId="0" applyFont="1" applyFill="1"/>
    <xf numFmtId="0" fontId="31" fillId="0" borderId="0" xfId="0" applyFont="1" applyFill="1" applyAlignment="1">
      <alignment wrapText="1"/>
    </xf>
    <xf numFmtId="3" fontId="0" fillId="0" borderId="1" xfId="0" applyNumberFormat="1" applyBorder="1"/>
    <xf numFmtId="3" fontId="0" fillId="0" borderId="0" xfId="0" applyNumberFormat="1"/>
    <xf numFmtId="0" fontId="32" fillId="0" borderId="1" xfId="0" applyFont="1" applyBorder="1" applyAlignment="1">
      <alignment vertical="center" wrapText="1"/>
    </xf>
    <xf numFmtId="0" fontId="32" fillId="0" borderId="1" xfId="0" applyFont="1" applyBorder="1" applyAlignment="1">
      <alignment horizontal="left" vertical="center" wrapText="1" indent="3"/>
    </xf>
    <xf numFmtId="0" fontId="32" fillId="0" borderId="0" xfId="0" applyFont="1" applyAlignment="1">
      <alignment horizontal="left" vertical="center" indent="6"/>
    </xf>
    <xf numFmtId="0" fontId="33" fillId="0" borderId="0" xfId="0" applyFont="1" applyAlignment="1">
      <alignment horizontal="center" vertical="center"/>
    </xf>
    <xf numFmtId="0" fontId="32" fillId="0" borderId="0" xfId="0" applyFont="1" applyAlignment="1">
      <alignment horizontal="center" vertical="center"/>
    </xf>
    <xf numFmtId="0" fontId="34" fillId="0" borderId="0" xfId="0" applyFont="1" applyAlignment="1">
      <alignment horizontal="left" vertical="center" indent="6"/>
    </xf>
    <xf numFmtId="0" fontId="32" fillId="0" borderId="0" xfId="0" applyFont="1" applyAlignment="1">
      <alignment vertical="center"/>
    </xf>
    <xf numFmtId="164" fontId="2" fillId="0" borderId="1" xfId="1" applyFont="1" applyBorder="1"/>
    <xf numFmtId="0" fontId="7" fillId="0" borderId="9" xfId="0" applyFont="1" applyBorder="1" applyAlignment="1">
      <alignment horizontal="center" vertical="center" wrapText="1"/>
    </xf>
  </cellXfs>
  <cellStyles count="6">
    <cellStyle name="Comma" xfId="1" builtinId="3"/>
    <cellStyle name="Comma 2 2" xfId="4" xr:uid="{A55C3BA2-F8C1-4B6F-B17C-3F8A3556D597}"/>
    <cellStyle name="Hyperlink" xfId="5" builtinId="8"/>
    <cellStyle name="Normal" xfId="0" builtinId="0"/>
    <cellStyle name="Normal 2" xfId="3" xr:uid="{3DEEA57D-EC73-4F75-9D9D-77700A89F21B}"/>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9.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63" Type="http://schemas.openxmlformats.org/officeDocument/2006/relationships/externalLink" Target="externalLinks/externalLink55.xml"/><Relationship Id="rId84" Type="http://schemas.openxmlformats.org/officeDocument/2006/relationships/externalLink" Target="externalLinks/externalLink76.xml"/><Relationship Id="rId138" Type="http://schemas.openxmlformats.org/officeDocument/2006/relationships/externalLink" Target="externalLinks/externalLink130.xml"/><Relationship Id="rId159" Type="http://schemas.openxmlformats.org/officeDocument/2006/relationships/externalLink" Target="externalLinks/externalLink151.xml"/><Relationship Id="rId170" Type="http://schemas.openxmlformats.org/officeDocument/2006/relationships/externalLink" Target="externalLinks/externalLink162.xml"/><Relationship Id="rId191" Type="http://schemas.openxmlformats.org/officeDocument/2006/relationships/externalLink" Target="externalLinks/externalLink183.xml"/><Relationship Id="rId205" Type="http://schemas.openxmlformats.org/officeDocument/2006/relationships/externalLink" Target="externalLinks/externalLink197.xml"/><Relationship Id="rId107" Type="http://schemas.openxmlformats.org/officeDocument/2006/relationships/externalLink" Target="externalLinks/externalLink99.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53" Type="http://schemas.openxmlformats.org/officeDocument/2006/relationships/externalLink" Target="externalLinks/externalLink45.xml"/><Relationship Id="rId74" Type="http://schemas.openxmlformats.org/officeDocument/2006/relationships/externalLink" Target="externalLinks/externalLink66.xml"/><Relationship Id="rId128" Type="http://schemas.openxmlformats.org/officeDocument/2006/relationships/externalLink" Target="externalLinks/externalLink120.xml"/><Relationship Id="rId149" Type="http://schemas.openxmlformats.org/officeDocument/2006/relationships/externalLink" Target="externalLinks/externalLink141.xml"/><Relationship Id="rId5" Type="http://schemas.openxmlformats.org/officeDocument/2006/relationships/worksheet" Target="worksheets/sheet5.xml"/><Relationship Id="rId95" Type="http://schemas.openxmlformats.org/officeDocument/2006/relationships/externalLink" Target="externalLinks/externalLink87.xml"/><Relationship Id="rId160" Type="http://schemas.openxmlformats.org/officeDocument/2006/relationships/externalLink" Target="externalLinks/externalLink152.xml"/><Relationship Id="rId181" Type="http://schemas.openxmlformats.org/officeDocument/2006/relationships/externalLink" Target="externalLinks/externalLink173.xml"/><Relationship Id="rId22" Type="http://schemas.openxmlformats.org/officeDocument/2006/relationships/externalLink" Target="externalLinks/externalLink14.xml"/><Relationship Id="rId43" Type="http://schemas.openxmlformats.org/officeDocument/2006/relationships/externalLink" Target="externalLinks/externalLink35.xml"/><Relationship Id="rId64" Type="http://schemas.openxmlformats.org/officeDocument/2006/relationships/externalLink" Target="externalLinks/externalLink56.xml"/><Relationship Id="rId118" Type="http://schemas.openxmlformats.org/officeDocument/2006/relationships/externalLink" Target="externalLinks/externalLink110.xml"/><Relationship Id="rId139" Type="http://schemas.openxmlformats.org/officeDocument/2006/relationships/externalLink" Target="externalLinks/externalLink131.xml"/><Relationship Id="rId85" Type="http://schemas.openxmlformats.org/officeDocument/2006/relationships/externalLink" Target="externalLinks/externalLink77.xml"/><Relationship Id="rId150" Type="http://schemas.openxmlformats.org/officeDocument/2006/relationships/externalLink" Target="externalLinks/externalLink142.xml"/><Relationship Id="rId171" Type="http://schemas.openxmlformats.org/officeDocument/2006/relationships/externalLink" Target="externalLinks/externalLink163.xml"/><Relationship Id="rId192" Type="http://schemas.openxmlformats.org/officeDocument/2006/relationships/externalLink" Target="externalLinks/externalLink184.xml"/><Relationship Id="rId206" Type="http://schemas.openxmlformats.org/officeDocument/2006/relationships/externalLink" Target="externalLinks/externalLink198.xml"/><Relationship Id="rId12" Type="http://schemas.openxmlformats.org/officeDocument/2006/relationships/externalLink" Target="externalLinks/externalLink4.xml"/><Relationship Id="rId33" Type="http://schemas.openxmlformats.org/officeDocument/2006/relationships/externalLink" Target="externalLinks/externalLink25.xml"/><Relationship Id="rId108" Type="http://schemas.openxmlformats.org/officeDocument/2006/relationships/externalLink" Target="externalLinks/externalLink100.xml"/><Relationship Id="rId129" Type="http://schemas.openxmlformats.org/officeDocument/2006/relationships/externalLink" Target="externalLinks/externalLink121.xml"/><Relationship Id="rId54" Type="http://schemas.openxmlformats.org/officeDocument/2006/relationships/externalLink" Target="externalLinks/externalLink46.xml"/><Relationship Id="rId75" Type="http://schemas.openxmlformats.org/officeDocument/2006/relationships/externalLink" Target="externalLinks/externalLink67.xml"/><Relationship Id="rId96" Type="http://schemas.openxmlformats.org/officeDocument/2006/relationships/externalLink" Target="externalLinks/externalLink88.xml"/><Relationship Id="rId140" Type="http://schemas.openxmlformats.org/officeDocument/2006/relationships/externalLink" Target="externalLinks/externalLink132.xml"/><Relationship Id="rId161" Type="http://schemas.openxmlformats.org/officeDocument/2006/relationships/externalLink" Target="externalLinks/externalLink153.xml"/><Relationship Id="rId182" Type="http://schemas.openxmlformats.org/officeDocument/2006/relationships/externalLink" Target="externalLinks/externalLink174.xml"/><Relationship Id="rId6" Type="http://schemas.openxmlformats.org/officeDocument/2006/relationships/worksheet" Target="worksheets/sheet6.xml"/><Relationship Id="rId23" Type="http://schemas.openxmlformats.org/officeDocument/2006/relationships/externalLink" Target="externalLinks/externalLink15.xml"/><Relationship Id="rId119" Type="http://schemas.openxmlformats.org/officeDocument/2006/relationships/externalLink" Target="externalLinks/externalLink111.xml"/><Relationship Id="rId44" Type="http://schemas.openxmlformats.org/officeDocument/2006/relationships/externalLink" Target="externalLinks/externalLink36.xml"/><Relationship Id="rId65" Type="http://schemas.openxmlformats.org/officeDocument/2006/relationships/externalLink" Target="externalLinks/externalLink57.xml"/><Relationship Id="rId86" Type="http://schemas.openxmlformats.org/officeDocument/2006/relationships/externalLink" Target="externalLinks/externalLink78.xml"/><Relationship Id="rId130" Type="http://schemas.openxmlformats.org/officeDocument/2006/relationships/externalLink" Target="externalLinks/externalLink122.xml"/><Relationship Id="rId151" Type="http://schemas.openxmlformats.org/officeDocument/2006/relationships/externalLink" Target="externalLinks/externalLink143.xml"/><Relationship Id="rId172" Type="http://schemas.openxmlformats.org/officeDocument/2006/relationships/externalLink" Target="externalLinks/externalLink164.xml"/><Relationship Id="rId193" Type="http://schemas.openxmlformats.org/officeDocument/2006/relationships/externalLink" Target="externalLinks/externalLink185.xml"/><Relationship Id="rId207" Type="http://schemas.openxmlformats.org/officeDocument/2006/relationships/theme" Target="theme/theme1.xml"/><Relationship Id="rId13" Type="http://schemas.openxmlformats.org/officeDocument/2006/relationships/externalLink" Target="externalLinks/externalLink5.xml"/><Relationship Id="rId109" Type="http://schemas.openxmlformats.org/officeDocument/2006/relationships/externalLink" Target="externalLinks/externalLink101.xml"/><Relationship Id="rId34" Type="http://schemas.openxmlformats.org/officeDocument/2006/relationships/externalLink" Target="externalLinks/externalLink26.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externalLink" Target="externalLinks/externalLink89.xml"/><Relationship Id="rId120" Type="http://schemas.openxmlformats.org/officeDocument/2006/relationships/externalLink" Target="externalLinks/externalLink112.xml"/><Relationship Id="rId141" Type="http://schemas.openxmlformats.org/officeDocument/2006/relationships/externalLink" Target="externalLinks/externalLink133.xml"/><Relationship Id="rId7" Type="http://schemas.openxmlformats.org/officeDocument/2006/relationships/worksheet" Target="worksheets/sheet7.xml"/><Relationship Id="rId162" Type="http://schemas.openxmlformats.org/officeDocument/2006/relationships/externalLink" Target="externalLinks/externalLink154.xml"/><Relationship Id="rId183" Type="http://schemas.openxmlformats.org/officeDocument/2006/relationships/externalLink" Target="externalLinks/externalLink175.xml"/><Relationship Id="rId24" Type="http://schemas.openxmlformats.org/officeDocument/2006/relationships/externalLink" Target="externalLinks/externalLink16.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110" Type="http://schemas.openxmlformats.org/officeDocument/2006/relationships/externalLink" Target="externalLinks/externalLink102.xml"/><Relationship Id="rId131" Type="http://schemas.openxmlformats.org/officeDocument/2006/relationships/externalLink" Target="externalLinks/externalLink123.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52" Type="http://schemas.openxmlformats.org/officeDocument/2006/relationships/externalLink" Target="externalLinks/externalLink144.xml"/><Relationship Id="rId173" Type="http://schemas.openxmlformats.org/officeDocument/2006/relationships/externalLink" Target="externalLinks/externalLink165.xml"/><Relationship Id="rId194" Type="http://schemas.openxmlformats.org/officeDocument/2006/relationships/externalLink" Target="externalLinks/externalLink186.xml"/><Relationship Id="rId199" Type="http://schemas.openxmlformats.org/officeDocument/2006/relationships/externalLink" Target="externalLinks/externalLink191.xml"/><Relationship Id="rId203" Type="http://schemas.openxmlformats.org/officeDocument/2006/relationships/externalLink" Target="externalLinks/externalLink195.xml"/><Relationship Id="rId208" Type="http://schemas.openxmlformats.org/officeDocument/2006/relationships/styles" Target="styles.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100" Type="http://schemas.openxmlformats.org/officeDocument/2006/relationships/externalLink" Target="externalLinks/externalLink92.xml"/><Relationship Id="rId105" Type="http://schemas.openxmlformats.org/officeDocument/2006/relationships/externalLink" Target="externalLinks/externalLink97.xml"/><Relationship Id="rId126" Type="http://schemas.openxmlformats.org/officeDocument/2006/relationships/externalLink" Target="externalLinks/externalLink118.xml"/><Relationship Id="rId147" Type="http://schemas.openxmlformats.org/officeDocument/2006/relationships/externalLink" Target="externalLinks/externalLink139.xml"/><Relationship Id="rId168" Type="http://schemas.openxmlformats.org/officeDocument/2006/relationships/externalLink" Target="externalLinks/externalLink160.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externalLink" Target="externalLinks/externalLink85.xml"/><Relationship Id="rId98" Type="http://schemas.openxmlformats.org/officeDocument/2006/relationships/externalLink" Target="externalLinks/externalLink90.xml"/><Relationship Id="rId121" Type="http://schemas.openxmlformats.org/officeDocument/2006/relationships/externalLink" Target="externalLinks/externalLink113.xml"/><Relationship Id="rId142" Type="http://schemas.openxmlformats.org/officeDocument/2006/relationships/externalLink" Target="externalLinks/externalLink134.xml"/><Relationship Id="rId163" Type="http://schemas.openxmlformats.org/officeDocument/2006/relationships/externalLink" Target="externalLinks/externalLink155.xml"/><Relationship Id="rId184" Type="http://schemas.openxmlformats.org/officeDocument/2006/relationships/externalLink" Target="externalLinks/externalLink176.xml"/><Relationship Id="rId189" Type="http://schemas.openxmlformats.org/officeDocument/2006/relationships/externalLink" Target="externalLinks/externalLink181.xml"/><Relationship Id="rId3" Type="http://schemas.openxmlformats.org/officeDocument/2006/relationships/worksheet" Target="worksheets/sheet3.xml"/><Relationship Id="rId25" Type="http://schemas.openxmlformats.org/officeDocument/2006/relationships/externalLink" Target="externalLinks/externalLink17.xml"/><Relationship Id="rId46" Type="http://schemas.openxmlformats.org/officeDocument/2006/relationships/externalLink" Target="externalLinks/externalLink38.xml"/><Relationship Id="rId67" Type="http://schemas.openxmlformats.org/officeDocument/2006/relationships/externalLink" Target="externalLinks/externalLink59.xml"/><Relationship Id="rId116" Type="http://schemas.openxmlformats.org/officeDocument/2006/relationships/externalLink" Target="externalLinks/externalLink108.xml"/><Relationship Id="rId137" Type="http://schemas.openxmlformats.org/officeDocument/2006/relationships/externalLink" Target="externalLinks/externalLink129.xml"/><Relationship Id="rId158" Type="http://schemas.openxmlformats.org/officeDocument/2006/relationships/externalLink" Target="externalLinks/externalLink150.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62" Type="http://schemas.openxmlformats.org/officeDocument/2006/relationships/externalLink" Target="externalLinks/externalLink54.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111" Type="http://schemas.openxmlformats.org/officeDocument/2006/relationships/externalLink" Target="externalLinks/externalLink103.xml"/><Relationship Id="rId132" Type="http://schemas.openxmlformats.org/officeDocument/2006/relationships/externalLink" Target="externalLinks/externalLink124.xml"/><Relationship Id="rId153" Type="http://schemas.openxmlformats.org/officeDocument/2006/relationships/externalLink" Target="externalLinks/externalLink145.xml"/><Relationship Id="rId174" Type="http://schemas.openxmlformats.org/officeDocument/2006/relationships/externalLink" Target="externalLinks/externalLink166.xml"/><Relationship Id="rId179" Type="http://schemas.openxmlformats.org/officeDocument/2006/relationships/externalLink" Target="externalLinks/externalLink171.xml"/><Relationship Id="rId195" Type="http://schemas.openxmlformats.org/officeDocument/2006/relationships/externalLink" Target="externalLinks/externalLink187.xml"/><Relationship Id="rId209" Type="http://schemas.openxmlformats.org/officeDocument/2006/relationships/sharedStrings" Target="sharedStrings.xml"/><Relationship Id="rId190" Type="http://schemas.openxmlformats.org/officeDocument/2006/relationships/externalLink" Target="externalLinks/externalLink182.xml"/><Relationship Id="rId204" Type="http://schemas.openxmlformats.org/officeDocument/2006/relationships/externalLink" Target="externalLinks/externalLink196.xml"/><Relationship Id="rId15" Type="http://schemas.openxmlformats.org/officeDocument/2006/relationships/externalLink" Target="externalLinks/externalLink7.xml"/><Relationship Id="rId36" Type="http://schemas.openxmlformats.org/officeDocument/2006/relationships/externalLink" Target="externalLinks/externalLink28.xml"/><Relationship Id="rId57" Type="http://schemas.openxmlformats.org/officeDocument/2006/relationships/externalLink" Target="externalLinks/externalLink49.xml"/><Relationship Id="rId106" Type="http://schemas.openxmlformats.org/officeDocument/2006/relationships/externalLink" Target="externalLinks/externalLink98.xml"/><Relationship Id="rId127" Type="http://schemas.openxmlformats.org/officeDocument/2006/relationships/externalLink" Target="externalLinks/externalLink11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52" Type="http://schemas.openxmlformats.org/officeDocument/2006/relationships/externalLink" Target="externalLinks/externalLink44.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94" Type="http://schemas.openxmlformats.org/officeDocument/2006/relationships/externalLink" Target="externalLinks/externalLink86.xml"/><Relationship Id="rId99" Type="http://schemas.openxmlformats.org/officeDocument/2006/relationships/externalLink" Target="externalLinks/externalLink91.xml"/><Relationship Id="rId101" Type="http://schemas.openxmlformats.org/officeDocument/2006/relationships/externalLink" Target="externalLinks/externalLink93.xml"/><Relationship Id="rId122" Type="http://schemas.openxmlformats.org/officeDocument/2006/relationships/externalLink" Target="externalLinks/externalLink114.xml"/><Relationship Id="rId143" Type="http://schemas.openxmlformats.org/officeDocument/2006/relationships/externalLink" Target="externalLinks/externalLink135.xml"/><Relationship Id="rId148" Type="http://schemas.openxmlformats.org/officeDocument/2006/relationships/externalLink" Target="externalLinks/externalLink140.xml"/><Relationship Id="rId164" Type="http://schemas.openxmlformats.org/officeDocument/2006/relationships/externalLink" Target="externalLinks/externalLink156.xml"/><Relationship Id="rId169" Type="http://schemas.openxmlformats.org/officeDocument/2006/relationships/externalLink" Target="externalLinks/externalLink161.xml"/><Relationship Id="rId185" Type="http://schemas.openxmlformats.org/officeDocument/2006/relationships/externalLink" Target="externalLinks/externalLink177.xml"/><Relationship Id="rId4" Type="http://schemas.openxmlformats.org/officeDocument/2006/relationships/worksheet" Target="worksheets/sheet4.xml"/><Relationship Id="rId9" Type="http://schemas.openxmlformats.org/officeDocument/2006/relationships/externalLink" Target="externalLinks/externalLink1.xml"/><Relationship Id="rId180" Type="http://schemas.openxmlformats.org/officeDocument/2006/relationships/externalLink" Target="externalLinks/externalLink172.xml"/><Relationship Id="rId210" Type="http://schemas.microsoft.com/office/2017/10/relationships/person" Target="persons/person.xml"/><Relationship Id="rId26" Type="http://schemas.openxmlformats.org/officeDocument/2006/relationships/externalLink" Target="externalLinks/externalLink18.xml"/><Relationship Id="rId47" Type="http://schemas.openxmlformats.org/officeDocument/2006/relationships/externalLink" Target="externalLinks/externalLink39.xml"/><Relationship Id="rId68" Type="http://schemas.openxmlformats.org/officeDocument/2006/relationships/externalLink" Target="externalLinks/externalLink60.xml"/><Relationship Id="rId89" Type="http://schemas.openxmlformats.org/officeDocument/2006/relationships/externalLink" Target="externalLinks/externalLink81.xml"/><Relationship Id="rId112" Type="http://schemas.openxmlformats.org/officeDocument/2006/relationships/externalLink" Target="externalLinks/externalLink104.xml"/><Relationship Id="rId133" Type="http://schemas.openxmlformats.org/officeDocument/2006/relationships/externalLink" Target="externalLinks/externalLink125.xml"/><Relationship Id="rId154" Type="http://schemas.openxmlformats.org/officeDocument/2006/relationships/externalLink" Target="externalLinks/externalLink146.xml"/><Relationship Id="rId175" Type="http://schemas.openxmlformats.org/officeDocument/2006/relationships/externalLink" Target="externalLinks/externalLink167.xml"/><Relationship Id="rId196" Type="http://schemas.openxmlformats.org/officeDocument/2006/relationships/externalLink" Target="externalLinks/externalLink188.xml"/><Relationship Id="rId200" Type="http://schemas.openxmlformats.org/officeDocument/2006/relationships/externalLink" Target="externalLinks/externalLink192.xml"/><Relationship Id="rId16" Type="http://schemas.openxmlformats.org/officeDocument/2006/relationships/externalLink" Target="externalLinks/externalLink8.xml"/><Relationship Id="rId37" Type="http://schemas.openxmlformats.org/officeDocument/2006/relationships/externalLink" Target="externalLinks/externalLink29.xml"/><Relationship Id="rId58" Type="http://schemas.openxmlformats.org/officeDocument/2006/relationships/externalLink" Target="externalLinks/externalLink50.xml"/><Relationship Id="rId79" Type="http://schemas.openxmlformats.org/officeDocument/2006/relationships/externalLink" Target="externalLinks/externalLink71.xml"/><Relationship Id="rId102" Type="http://schemas.openxmlformats.org/officeDocument/2006/relationships/externalLink" Target="externalLinks/externalLink94.xml"/><Relationship Id="rId123" Type="http://schemas.openxmlformats.org/officeDocument/2006/relationships/externalLink" Target="externalLinks/externalLink115.xml"/><Relationship Id="rId144" Type="http://schemas.openxmlformats.org/officeDocument/2006/relationships/externalLink" Target="externalLinks/externalLink136.xml"/><Relationship Id="rId90" Type="http://schemas.openxmlformats.org/officeDocument/2006/relationships/externalLink" Target="externalLinks/externalLink82.xml"/><Relationship Id="rId165" Type="http://schemas.openxmlformats.org/officeDocument/2006/relationships/externalLink" Target="externalLinks/externalLink157.xml"/><Relationship Id="rId186" Type="http://schemas.openxmlformats.org/officeDocument/2006/relationships/externalLink" Target="externalLinks/externalLink178.xml"/><Relationship Id="rId211" Type="http://schemas.openxmlformats.org/officeDocument/2006/relationships/calcChain" Target="calcChain.xml"/><Relationship Id="rId27" Type="http://schemas.openxmlformats.org/officeDocument/2006/relationships/externalLink" Target="externalLinks/externalLink19.xml"/><Relationship Id="rId48" Type="http://schemas.openxmlformats.org/officeDocument/2006/relationships/externalLink" Target="externalLinks/externalLink40.xml"/><Relationship Id="rId69" Type="http://schemas.openxmlformats.org/officeDocument/2006/relationships/externalLink" Target="externalLinks/externalLink61.xml"/><Relationship Id="rId113" Type="http://schemas.openxmlformats.org/officeDocument/2006/relationships/externalLink" Target="externalLinks/externalLink105.xml"/><Relationship Id="rId134" Type="http://schemas.openxmlformats.org/officeDocument/2006/relationships/externalLink" Target="externalLinks/externalLink126.xml"/><Relationship Id="rId80" Type="http://schemas.openxmlformats.org/officeDocument/2006/relationships/externalLink" Target="externalLinks/externalLink72.xml"/><Relationship Id="rId155" Type="http://schemas.openxmlformats.org/officeDocument/2006/relationships/externalLink" Target="externalLinks/externalLink147.xml"/><Relationship Id="rId176" Type="http://schemas.openxmlformats.org/officeDocument/2006/relationships/externalLink" Target="externalLinks/externalLink168.xml"/><Relationship Id="rId197" Type="http://schemas.openxmlformats.org/officeDocument/2006/relationships/externalLink" Target="externalLinks/externalLink189.xml"/><Relationship Id="rId201" Type="http://schemas.openxmlformats.org/officeDocument/2006/relationships/externalLink" Target="externalLinks/externalLink193.xml"/><Relationship Id="rId17" Type="http://schemas.openxmlformats.org/officeDocument/2006/relationships/externalLink" Target="externalLinks/externalLink9.xml"/><Relationship Id="rId38" Type="http://schemas.openxmlformats.org/officeDocument/2006/relationships/externalLink" Target="externalLinks/externalLink30.xml"/><Relationship Id="rId59" Type="http://schemas.openxmlformats.org/officeDocument/2006/relationships/externalLink" Target="externalLinks/externalLink51.xml"/><Relationship Id="rId103" Type="http://schemas.openxmlformats.org/officeDocument/2006/relationships/externalLink" Target="externalLinks/externalLink95.xml"/><Relationship Id="rId124" Type="http://schemas.openxmlformats.org/officeDocument/2006/relationships/externalLink" Target="externalLinks/externalLink116.xml"/><Relationship Id="rId70" Type="http://schemas.openxmlformats.org/officeDocument/2006/relationships/externalLink" Target="externalLinks/externalLink62.xml"/><Relationship Id="rId91" Type="http://schemas.openxmlformats.org/officeDocument/2006/relationships/externalLink" Target="externalLinks/externalLink83.xml"/><Relationship Id="rId145" Type="http://schemas.openxmlformats.org/officeDocument/2006/relationships/externalLink" Target="externalLinks/externalLink137.xml"/><Relationship Id="rId166" Type="http://schemas.openxmlformats.org/officeDocument/2006/relationships/externalLink" Target="externalLinks/externalLink158.xml"/><Relationship Id="rId187" Type="http://schemas.openxmlformats.org/officeDocument/2006/relationships/externalLink" Target="externalLinks/externalLink179.xml"/><Relationship Id="rId1" Type="http://schemas.openxmlformats.org/officeDocument/2006/relationships/worksheet" Target="worksheets/sheet1.xml"/><Relationship Id="rId28" Type="http://schemas.openxmlformats.org/officeDocument/2006/relationships/externalLink" Target="externalLinks/externalLink20.xml"/><Relationship Id="rId49" Type="http://schemas.openxmlformats.org/officeDocument/2006/relationships/externalLink" Target="externalLinks/externalLink41.xml"/><Relationship Id="rId114" Type="http://schemas.openxmlformats.org/officeDocument/2006/relationships/externalLink" Target="externalLinks/externalLink106.xml"/><Relationship Id="rId60" Type="http://schemas.openxmlformats.org/officeDocument/2006/relationships/externalLink" Target="externalLinks/externalLink52.xml"/><Relationship Id="rId81" Type="http://schemas.openxmlformats.org/officeDocument/2006/relationships/externalLink" Target="externalLinks/externalLink73.xml"/><Relationship Id="rId135" Type="http://schemas.openxmlformats.org/officeDocument/2006/relationships/externalLink" Target="externalLinks/externalLink127.xml"/><Relationship Id="rId156" Type="http://schemas.openxmlformats.org/officeDocument/2006/relationships/externalLink" Target="externalLinks/externalLink148.xml"/><Relationship Id="rId177" Type="http://schemas.openxmlformats.org/officeDocument/2006/relationships/externalLink" Target="externalLinks/externalLink169.xml"/><Relationship Id="rId198" Type="http://schemas.openxmlformats.org/officeDocument/2006/relationships/externalLink" Target="externalLinks/externalLink190.xml"/><Relationship Id="rId202" Type="http://schemas.openxmlformats.org/officeDocument/2006/relationships/externalLink" Target="externalLinks/externalLink194.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50" Type="http://schemas.openxmlformats.org/officeDocument/2006/relationships/externalLink" Target="externalLinks/externalLink42.xml"/><Relationship Id="rId104" Type="http://schemas.openxmlformats.org/officeDocument/2006/relationships/externalLink" Target="externalLinks/externalLink96.xml"/><Relationship Id="rId125" Type="http://schemas.openxmlformats.org/officeDocument/2006/relationships/externalLink" Target="externalLinks/externalLink117.xml"/><Relationship Id="rId146" Type="http://schemas.openxmlformats.org/officeDocument/2006/relationships/externalLink" Target="externalLinks/externalLink138.xml"/><Relationship Id="rId167" Type="http://schemas.openxmlformats.org/officeDocument/2006/relationships/externalLink" Target="externalLinks/externalLink159.xml"/><Relationship Id="rId188" Type="http://schemas.openxmlformats.org/officeDocument/2006/relationships/externalLink" Target="externalLinks/externalLink180.xml"/><Relationship Id="rId71" Type="http://schemas.openxmlformats.org/officeDocument/2006/relationships/externalLink" Target="externalLinks/externalLink63.xml"/><Relationship Id="rId92" Type="http://schemas.openxmlformats.org/officeDocument/2006/relationships/externalLink" Target="externalLinks/externalLink84.xml"/><Relationship Id="rId2" Type="http://schemas.openxmlformats.org/officeDocument/2006/relationships/worksheet" Target="worksheets/sheet2.xml"/><Relationship Id="rId29" Type="http://schemas.openxmlformats.org/officeDocument/2006/relationships/externalLink" Target="externalLinks/externalLink21.xml"/><Relationship Id="rId40" Type="http://schemas.openxmlformats.org/officeDocument/2006/relationships/externalLink" Target="externalLinks/externalLink32.xml"/><Relationship Id="rId115" Type="http://schemas.openxmlformats.org/officeDocument/2006/relationships/externalLink" Target="externalLinks/externalLink107.xml"/><Relationship Id="rId136" Type="http://schemas.openxmlformats.org/officeDocument/2006/relationships/externalLink" Target="externalLinks/externalLink128.xml"/><Relationship Id="rId157" Type="http://schemas.openxmlformats.org/officeDocument/2006/relationships/externalLink" Target="externalLinks/externalLink149.xml"/><Relationship Id="rId178" Type="http://schemas.openxmlformats.org/officeDocument/2006/relationships/externalLink" Target="externalLinks/externalLink17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Industrial Sector Experience (326.16 Crores)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A06-4F13-ADC3-629657F867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A06-4F13-ADC3-629657F867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A06-4F13-ADC3-629657F8674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A06-4F13-ADC3-629657F867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TECHNICAL!$B$2:$B$5</c:f>
              <c:strCache>
                <c:ptCount val="4"/>
                <c:pt idx="0">
                  <c:v>Oil &amp; Gas</c:v>
                </c:pt>
                <c:pt idx="1">
                  <c:v>Fertilizer</c:v>
                </c:pt>
                <c:pt idx="2">
                  <c:v>Ethanol Plant</c:v>
                </c:pt>
                <c:pt idx="3">
                  <c:v>Old Oil &amp; GAS</c:v>
                </c:pt>
              </c:strCache>
            </c:strRef>
          </c:cat>
          <c:val>
            <c:numRef>
              <c:f>TECHNICAL!$C$2:$C$5</c:f>
              <c:numCache>
                <c:formatCode>0.00</c:formatCode>
                <c:ptCount val="4"/>
                <c:pt idx="0">
                  <c:v>124.9669</c:v>
                </c:pt>
                <c:pt idx="1">
                  <c:v>98.724100000000007</c:v>
                </c:pt>
                <c:pt idx="2">
                  <c:v>38.566600000000001</c:v>
                </c:pt>
                <c:pt idx="3">
                  <c:v>63.9</c:v>
                </c:pt>
              </c:numCache>
            </c:numRef>
          </c:val>
          <c:extLst>
            <c:ext xmlns:c16="http://schemas.microsoft.com/office/drawing/2014/chart" uri="{C3380CC4-5D6E-409C-BE32-E72D297353CC}">
              <c16:uniqueId val="{00000008-2A06-4F13-ADC3-629657F86744}"/>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Current Commitments in Oil &amp; Gas Sector 90.91 Crores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TECHNICAL!$B$20</c:f>
              <c:strCache>
                <c:ptCount val="1"/>
                <c:pt idx="0">
                  <c:v>Oil &amp; Gas Piling, Civil &amp; Str with UG Piping</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TECHNICAL!$C$19:$E$19</c:f>
              <c:strCache>
                <c:ptCount val="3"/>
                <c:pt idx="0">
                  <c:v>Order Value in Crores</c:v>
                </c:pt>
                <c:pt idx="1">
                  <c:v>Executed Value in Crores</c:v>
                </c:pt>
                <c:pt idx="2">
                  <c:v>Balance Work in Crores</c:v>
                </c:pt>
              </c:strCache>
            </c:strRef>
          </c:cat>
          <c:val>
            <c:numRef>
              <c:f>TECHNICAL!$C$20:$E$20</c:f>
              <c:numCache>
                <c:formatCode>0.00</c:formatCode>
                <c:ptCount val="3"/>
                <c:pt idx="0">
                  <c:v>207.46770000000004</c:v>
                </c:pt>
                <c:pt idx="1">
                  <c:v>117.45159999999998</c:v>
                </c:pt>
                <c:pt idx="2">
                  <c:v>90.016100000000051</c:v>
                </c:pt>
              </c:numCache>
            </c:numRef>
          </c:val>
          <c:extLst>
            <c:ext xmlns:c16="http://schemas.microsoft.com/office/drawing/2014/chart" uri="{C3380CC4-5D6E-409C-BE32-E72D297353CC}">
              <c16:uniqueId val="{00000000-5E70-449E-9BAC-3230C52F11BC}"/>
            </c:ext>
          </c:extLst>
        </c:ser>
        <c:ser>
          <c:idx val="1"/>
          <c:order val="1"/>
          <c:tx>
            <c:strRef>
              <c:f>TECHNICAL!$B$21</c:f>
              <c:strCache>
                <c:ptCount val="1"/>
                <c:pt idx="0">
                  <c:v>Oil &amp; Gas Mechanical Str with AG Piping &amp; Equipment</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TECHNICAL!$C$19:$E$19</c:f>
              <c:strCache>
                <c:ptCount val="3"/>
                <c:pt idx="0">
                  <c:v>Order Value in Crores</c:v>
                </c:pt>
                <c:pt idx="1">
                  <c:v>Executed Value in Crores</c:v>
                </c:pt>
                <c:pt idx="2">
                  <c:v>Balance Work in Crores</c:v>
                </c:pt>
              </c:strCache>
            </c:strRef>
          </c:cat>
          <c:val>
            <c:numRef>
              <c:f>TECHNICAL!$C$21:$E$21</c:f>
              <c:numCache>
                <c:formatCode>0.00</c:formatCode>
                <c:ptCount val="3"/>
                <c:pt idx="0">
                  <c:v>72.465599999999995</c:v>
                </c:pt>
                <c:pt idx="1">
                  <c:v>72.31</c:v>
                </c:pt>
                <c:pt idx="2">
                  <c:v>0.15559999999999263</c:v>
                </c:pt>
              </c:numCache>
            </c:numRef>
          </c:val>
          <c:extLst>
            <c:ext xmlns:c16="http://schemas.microsoft.com/office/drawing/2014/chart" uri="{C3380CC4-5D6E-409C-BE32-E72D297353CC}">
              <c16:uniqueId val="{00000001-5E70-449E-9BAC-3230C52F11B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Infrastructure Sector Experience (1133.45 Crores)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C15-4465-99E7-30FDD2D320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C15-4465-99E7-30FDD2D320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C15-4465-99E7-30FDD2D320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EC15-4465-99E7-30FDD2D320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TECHNICAL!$W$2:$W$5</c:f>
              <c:strCache>
                <c:ptCount val="4"/>
                <c:pt idx="0">
                  <c:v>Roads &amp; Highways</c:v>
                </c:pt>
                <c:pt idx="1">
                  <c:v>Canal Lining</c:v>
                </c:pt>
                <c:pt idx="2">
                  <c:v>NHAI, SH, MDR, OR</c:v>
                </c:pt>
                <c:pt idx="3">
                  <c:v>Irrigation Restoration Earthwork</c:v>
                </c:pt>
              </c:strCache>
            </c:strRef>
          </c:cat>
          <c:val>
            <c:numRef>
              <c:f>TECHNICAL!$X$2:$X$5</c:f>
              <c:numCache>
                <c:formatCode>0.00</c:formatCode>
                <c:ptCount val="4"/>
                <c:pt idx="0">
                  <c:v>358.34907809999999</c:v>
                </c:pt>
                <c:pt idx="1">
                  <c:v>348.02480000000003</c:v>
                </c:pt>
                <c:pt idx="2">
                  <c:v>400.72999999999996</c:v>
                </c:pt>
                <c:pt idx="3">
                  <c:v>26.35</c:v>
                </c:pt>
              </c:numCache>
            </c:numRef>
          </c:val>
          <c:extLst>
            <c:ext xmlns:c16="http://schemas.microsoft.com/office/drawing/2014/chart" uri="{C3380CC4-5D6E-409C-BE32-E72D297353CC}">
              <c16:uniqueId val="{00000008-EC15-4465-99E7-30FDD2D32032}"/>
            </c:ext>
          </c:extLst>
        </c:ser>
        <c:dLbls>
          <c:dLblPos val="outEnd"/>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Current Commitment in Infra. Sector (Roads &amp; Canals) 210.92 Crores</a:t>
            </a:r>
          </a:p>
        </c:rich>
      </c:tx>
      <c:layout>
        <c:manualLayout>
          <c:xMode val="edge"/>
          <c:yMode val="edge"/>
          <c:x val="0.14984162138133944"/>
          <c:y val="2.46430636567201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TECHNICAL!$W$20</c:f>
              <c:strCache>
                <c:ptCount val="1"/>
                <c:pt idx="0">
                  <c:v>Highway Construction</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TECHNICAL!$X$19:$Z$19</c:f>
              <c:strCache>
                <c:ptCount val="3"/>
                <c:pt idx="0">
                  <c:v>Order Value in Crores</c:v>
                </c:pt>
                <c:pt idx="1">
                  <c:v>Executed Value in Crores</c:v>
                </c:pt>
                <c:pt idx="2">
                  <c:v>Balance Work in Crores</c:v>
                </c:pt>
              </c:strCache>
            </c:strRef>
          </c:cat>
          <c:val>
            <c:numRef>
              <c:f>TECHNICAL!$X$20:$Z$20</c:f>
              <c:numCache>
                <c:formatCode>0.00</c:formatCode>
                <c:ptCount val="3"/>
                <c:pt idx="0">
                  <c:v>270.3202</c:v>
                </c:pt>
                <c:pt idx="1">
                  <c:v>236.15099999999998</c:v>
                </c:pt>
                <c:pt idx="2">
                  <c:v>34.169200000000018</c:v>
                </c:pt>
              </c:numCache>
            </c:numRef>
          </c:val>
          <c:extLst>
            <c:ext xmlns:c16="http://schemas.microsoft.com/office/drawing/2014/chart" uri="{C3380CC4-5D6E-409C-BE32-E72D297353CC}">
              <c16:uniqueId val="{00000000-BCEB-45D7-9671-8938F176DAF7}"/>
            </c:ext>
          </c:extLst>
        </c:ser>
        <c:ser>
          <c:idx val="1"/>
          <c:order val="1"/>
          <c:tx>
            <c:strRef>
              <c:f>TECHNICAL!$W$21</c:f>
              <c:strCache>
                <c:ptCount val="1"/>
                <c:pt idx="0">
                  <c:v>Road Long Term Maintenance</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TECHNICAL!$X$19:$Z$19</c:f>
              <c:strCache>
                <c:ptCount val="3"/>
                <c:pt idx="0">
                  <c:v>Order Value in Crores</c:v>
                </c:pt>
                <c:pt idx="1">
                  <c:v>Executed Value in Crores</c:v>
                </c:pt>
                <c:pt idx="2">
                  <c:v>Balance Work in Crores</c:v>
                </c:pt>
              </c:strCache>
            </c:strRef>
          </c:cat>
          <c:val>
            <c:numRef>
              <c:f>TECHNICAL!$X$21:$Z$21</c:f>
              <c:numCache>
                <c:formatCode>General</c:formatCode>
                <c:ptCount val="3"/>
                <c:pt idx="0">
                  <c:v>220.64429999999999</c:v>
                </c:pt>
                <c:pt idx="1">
                  <c:v>167.2</c:v>
                </c:pt>
                <c:pt idx="2" formatCode="0.00">
                  <c:v>53.444299999999998</c:v>
                </c:pt>
              </c:numCache>
            </c:numRef>
          </c:val>
          <c:extLst>
            <c:ext xmlns:c16="http://schemas.microsoft.com/office/drawing/2014/chart" uri="{C3380CC4-5D6E-409C-BE32-E72D297353CC}">
              <c16:uniqueId val="{00000001-BCEB-45D7-9671-8938F176DAF7}"/>
            </c:ext>
          </c:extLst>
        </c:ser>
        <c:ser>
          <c:idx val="2"/>
          <c:order val="2"/>
          <c:tx>
            <c:strRef>
              <c:f>TECHNICAL!$W$22</c:f>
              <c:strCache>
                <c:ptCount val="1"/>
                <c:pt idx="0">
                  <c:v>Canal Const. &amp; Lining</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TECHNICAL!$X$19:$Z$19</c:f>
              <c:strCache>
                <c:ptCount val="3"/>
                <c:pt idx="0">
                  <c:v>Order Value in Crores</c:v>
                </c:pt>
                <c:pt idx="1">
                  <c:v>Executed Value in Crores</c:v>
                </c:pt>
                <c:pt idx="2">
                  <c:v>Balance Work in Crores</c:v>
                </c:pt>
              </c:strCache>
            </c:strRef>
          </c:cat>
          <c:val>
            <c:numRef>
              <c:f>TECHNICAL!$X$22:$Z$22</c:f>
              <c:numCache>
                <c:formatCode>0.00</c:formatCode>
                <c:ptCount val="3"/>
                <c:pt idx="0">
                  <c:v>462.86400000000003</c:v>
                </c:pt>
                <c:pt idx="1">
                  <c:v>339.56209999999999</c:v>
                </c:pt>
                <c:pt idx="2">
                  <c:v>123.30190000000005</c:v>
                </c:pt>
              </c:numCache>
            </c:numRef>
          </c:val>
          <c:extLst>
            <c:ext xmlns:c16="http://schemas.microsoft.com/office/drawing/2014/chart" uri="{C3380CC4-5D6E-409C-BE32-E72D297353CC}">
              <c16:uniqueId val="{00000002-BCEB-45D7-9671-8938F176DAF7}"/>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BLPL NETWORTH (in Lacs)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val>
            <c:numRef>
              <c:f>FINANCIAL!$A$3:$G$3</c:f>
              <c:numCache>
                <c:formatCode>General</c:formatCode>
                <c:ptCount val="7"/>
                <c:pt idx="0">
                  <c:v>3947.68</c:v>
                </c:pt>
                <c:pt idx="1">
                  <c:v>5859.67</c:v>
                </c:pt>
                <c:pt idx="2">
                  <c:v>7814.9</c:v>
                </c:pt>
                <c:pt idx="3">
                  <c:v>9675.5</c:v>
                </c:pt>
                <c:pt idx="4">
                  <c:v>11908.1</c:v>
                </c:pt>
                <c:pt idx="5">
                  <c:v>13911.4</c:v>
                </c:pt>
                <c:pt idx="6">
                  <c:v>17041.900000000001</c:v>
                </c:pt>
              </c:numCache>
            </c:numRef>
          </c:val>
          <c:extLst>
            <c:ext xmlns:c15="http://schemas.microsoft.com/office/drawing/2012/chart" uri="{02D57815-91ED-43cb-92C2-25804820EDAC}">
              <c15:filteredSeriesTitle>
                <c15:tx>
                  <c:strRef>
                    <c:extLst>
                      <c:ext uri="{02D57815-91ED-43cb-92C2-25804820EDAC}">
                        <c15:formulaRef>
                          <c15:sqref>FINANCIAL!$A$1:$A$2</c15:sqref>
                        </c15:formulaRef>
                      </c:ext>
                    </c:extLst>
                    <c:strCache>
                      <c:ptCount val="2"/>
                      <c:pt idx="0">
                        <c:v>Net Worth (Rs. In Lacs)</c:v>
                      </c:pt>
                      <c:pt idx="1">
                        <c:v> 2018-19</c:v>
                      </c:pt>
                    </c:strCache>
                  </c:strRef>
                </c15:tx>
              </c15:filteredSeriesTitle>
            </c:ext>
            <c:ext xmlns:c16="http://schemas.microsoft.com/office/drawing/2014/chart" uri="{C3380CC4-5D6E-409C-BE32-E72D297353CC}">
              <c16:uniqueId val="{00000006-47EE-4614-8B41-60B4C01AB43D}"/>
            </c:ext>
          </c:extLst>
        </c:ser>
        <c:ser>
          <c:idx val="1"/>
          <c:order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FINANCIAL!$B$3</c:f>
              <c:numCache>
                <c:formatCode>General</c:formatCode>
                <c:ptCount val="1"/>
                <c:pt idx="0">
                  <c:v>5859.67</c:v>
                </c:pt>
              </c:numCache>
            </c:numRef>
          </c:val>
          <c:extLst>
            <c:ext xmlns:c15="http://schemas.microsoft.com/office/drawing/2012/chart" uri="{02D57815-91ED-43cb-92C2-25804820EDAC}">
              <c15:filteredSeriesTitle>
                <c15:tx>
                  <c:strRef>
                    <c:extLst>
                      <c:ext uri="{02D57815-91ED-43cb-92C2-25804820EDAC}">
                        <c15:formulaRef>
                          <c15:sqref>FINANCIAL!$B$1:$B$2</c15:sqref>
                        </c15:formulaRef>
                      </c:ext>
                    </c:extLst>
                    <c:strCache>
                      <c:ptCount val="2"/>
                      <c:pt idx="0">
                        <c:v>Net Worth (Rs. In Lacs)</c:v>
                      </c:pt>
                      <c:pt idx="1">
                        <c:v> 2019-20</c:v>
                      </c:pt>
                    </c:strCache>
                  </c:strRef>
                </c15:tx>
              </c15:filteredSeriesTitle>
            </c:ext>
            <c:ext xmlns:c16="http://schemas.microsoft.com/office/drawing/2014/chart" uri="{C3380CC4-5D6E-409C-BE32-E72D297353CC}">
              <c16:uniqueId val="{00000000-47EE-4614-8B41-60B4C01AB43D}"/>
            </c:ext>
          </c:extLst>
        </c:ser>
        <c:ser>
          <c:idx val="2"/>
          <c:order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FINANCIAL!$C$3</c:f>
              <c:numCache>
                <c:formatCode>General</c:formatCode>
                <c:ptCount val="1"/>
                <c:pt idx="0">
                  <c:v>7814.9</c:v>
                </c:pt>
              </c:numCache>
            </c:numRef>
          </c:val>
          <c:extLst>
            <c:ext xmlns:c15="http://schemas.microsoft.com/office/drawing/2012/chart" uri="{02D57815-91ED-43cb-92C2-25804820EDAC}">
              <c15:filteredSeriesTitle>
                <c15:tx>
                  <c:strRef>
                    <c:extLst>
                      <c:ext uri="{02D57815-91ED-43cb-92C2-25804820EDAC}">
                        <c15:formulaRef>
                          <c15:sqref>FINANCIAL!$C$1:$C$2</c15:sqref>
                        </c15:formulaRef>
                      </c:ext>
                    </c:extLst>
                    <c:strCache>
                      <c:ptCount val="2"/>
                      <c:pt idx="0">
                        <c:v>Net Worth (Rs. In Lacs)</c:v>
                      </c:pt>
                      <c:pt idx="1">
                        <c:v> 2020-21</c:v>
                      </c:pt>
                    </c:strCache>
                  </c:strRef>
                </c15:tx>
              </c15:filteredSeriesTitle>
            </c:ext>
            <c:ext xmlns:c16="http://schemas.microsoft.com/office/drawing/2014/chart" uri="{C3380CC4-5D6E-409C-BE32-E72D297353CC}">
              <c16:uniqueId val="{00000001-47EE-4614-8B41-60B4C01AB43D}"/>
            </c:ext>
          </c:extLst>
        </c:ser>
        <c:ser>
          <c:idx val="3"/>
          <c:order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FINANCIAL!$D$3</c:f>
              <c:numCache>
                <c:formatCode>General</c:formatCode>
                <c:ptCount val="1"/>
                <c:pt idx="0">
                  <c:v>9675.5</c:v>
                </c:pt>
              </c:numCache>
            </c:numRef>
          </c:val>
          <c:extLst>
            <c:ext xmlns:c15="http://schemas.microsoft.com/office/drawing/2012/chart" uri="{02D57815-91ED-43cb-92C2-25804820EDAC}">
              <c15:filteredSeriesTitle>
                <c15:tx>
                  <c:strRef>
                    <c:extLst>
                      <c:ext uri="{02D57815-91ED-43cb-92C2-25804820EDAC}">
                        <c15:formulaRef>
                          <c15:sqref>FINANCIAL!$D$1:$D$2</c15:sqref>
                        </c15:formulaRef>
                      </c:ext>
                    </c:extLst>
                    <c:strCache>
                      <c:ptCount val="2"/>
                      <c:pt idx="0">
                        <c:v>Net Worth (Rs. In Lacs)</c:v>
                      </c:pt>
                      <c:pt idx="1">
                        <c:v> 2021-22</c:v>
                      </c:pt>
                    </c:strCache>
                  </c:strRef>
                </c15:tx>
              </c15:filteredSeriesTitle>
            </c:ext>
            <c:ext xmlns:c16="http://schemas.microsoft.com/office/drawing/2014/chart" uri="{C3380CC4-5D6E-409C-BE32-E72D297353CC}">
              <c16:uniqueId val="{00000002-47EE-4614-8B41-60B4C01AB43D}"/>
            </c:ext>
          </c:extLst>
        </c:ser>
        <c:ser>
          <c:idx val="4"/>
          <c:order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FINANCIAL!$E$3</c:f>
              <c:numCache>
                <c:formatCode>General</c:formatCode>
                <c:ptCount val="1"/>
                <c:pt idx="0">
                  <c:v>11908.1</c:v>
                </c:pt>
              </c:numCache>
            </c:numRef>
          </c:val>
          <c:extLst>
            <c:ext xmlns:c15="http://schemas.microsoft.com/office/drawing/2012/chart" uri="{02D57815-91ED-43cb-92C2-25804820EDAC}">
              <c15:filteredSeriesTitle>
                <c15:tx>
                  <c:strRef>
                    <c:extLst>
                      <c:ext uri="{02D57815-91ED-43cb-92C2-25804820EDAC}">
                        <c15:formulaRef>
                          <c15:sqref>FINANCIAL!$E$1:$E$2</c15:sqref>
                        </c15:formulaRef>
                      </c:ext>
                    </c:extLst>
                    <c:strCache>
                      <c:ptCount val="2"/>
                      <c:pt idx="0">
                        <c:v>Net Worth (Rs. In Lacs)</c:v>
                      </c:pt>
                      <c:pt idx="1">
                        <c:v> 2022-23</c:v>
                      </c:pt>
                    </c:strCache>
                  </c:strRef>
                </c15:tx>
              </c15:filteredSeriesTitle>
            </c:ext>
            <c:ext xmlns:c16="http://schemas.microsoft.com/office/drawing/2014/chart" uri="{C3380CC4-5D6E-409C-BE32-E72D297353CC}">
              <c16:uniqueId val="{00000003-47EE-4614-8B41-60B4C01AB43D}"/>
            </c:ext>
          </c:extLst>
        </c:ser>
        <c:ser>
          <c:idx val="5"/>
          <c:order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FINANCIAL!$F$3</c:f>
              <c:numCache>
                <c:formatCode>General</c:formatCode>
                <c:ptCount val="1"/>
                <c:pt idx="0">
                  <c:v>13911.4</c:v>
                </c:pt>
              </c:numCache>
            </c:numRef>
          </c:val>
          <c:extLst>
            <c:ext xmlns:c15="http://schemas.microsoft.com/office/drawing/2012/chart" uri="{02D57815-91ED-43cb-92C2-25804820EDAC}">
              <c15:filteredSeriesTitle>
                <c15:tx>
                  <c:strRef>
                    <c:extLst>
                      <c:ext uri="{02D57815-91ED-43cb-92C2-25804820EDAC}">
                        <c15:formulaRef>
                          <c15:sqref>FINANCIAL!$F$1:$F$2</c15:sqref>
                        </c15:formulaRef>
                      </c:ext>
                    </c:extLst>
                    <c:strCache>
                      <c:ptCount val="2"/>
                      <c:pt idx="0">
                        <c:v>Net Worth (Rs. In Lacs)</c:v>
                      </c:pt>
                      <c:pt idx="1">
                        <c:v> 2023-24</c:v>
                      </c:pt>
                    </c:strCache>
                  </c:strRef>
                </c15:tx>
              </c15:filteredSeriesTitle>
            </c:ext>
            <c:ext xmlns:c16="http://schemas.microsoft.com/office/drawing/2014/chart" uri="{C3380CC4-5D6E-409C-BE32-E72D297353CC}">
              <c16:uniqueId val="{00000004-47EE-4614-8B41-60B4C01AB43D}"/>
            </c:ext>
          </c:extLst>
        </c:ser>
        <c:ser>
          <c:idx val="6"/>
          <c:order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FINANCIAL!$G$3</c:f>
              <c:numCache>
                <c:formatCode>General</c:formatCode>
                <c:ptCount val="1"/>
                <c:pt idx="0">
                  <c:v>17041.900000000001</c:v>
                </c:pt>
              </c:numCache>
            </c:numRef>
          </c:val>
          <c:extLst>
            <c:ext xmlns:c15="http://schemas.microsoft.com/office/drawing/2012/chart" uri="{02D57815-91ED-43cb-92C2-25804820EDAC}">
              <c15:filteredSeriesTitle>
                <c15:tx>
                  <c:strRef>
                    <c:extLst>
                      <c:ext uri="{02D57815-91ED-43cb-92C2-25804820EDAC}">
                        <c15:formulaRef>
                          <c15:sqref>FINANCIAL!$G$1:$G$2</c15:sqref>
                        </c15:formulaRef>
                      </c:ext>
                    </c:extLst>
                    <c:strCache>
                      <c:ptCount val="2"/>
                      <c:pt idx="0">
                        <c:v>Net Worth (Rs. In Lacs)</c:v>
                      </c:pt>
                      <c:pt idx="1">
                        <c:v> 2024-25</c:v>
                      </c:pt>
                    </c:strCache>
                  </c:strRef>
                </c15:tx>
              </c15:filteredSeriesTitle>
            </c:ext>
            <c:ext xmlns:c16="http://schemas.microsoft.com/office/drawing/2014/chart" uri="{C3380CC4-5D6E-409C-BE32-E72D297353CC}">
              <c16:uniqueId val="{00000005-47EE-4614-8B41-60B4C01AB43D}"/>
            </c:ext>
          </c:extLst>
        </c:ser>
        <c:dLbls>
          <c:showLegendKey val="0"/>
          <c:showVal val="1"/>
          <c:showCatName val="0"/>
          <c:showSerName val="0"/>
          <c:showPercent val="0"/>
          <c:showBubbleSize val="0"/>
        </c:dLbls>
        <c:gapWidth val="100"/>
        <c:overlap val="-24"/>
        <c:axId val="1453877535"/>
        <c:axId val="1453878495"/>
      </c:barChart>
      <c:catAx>
        <c:axId val="1453877535"/>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878495"/>
        <c:crosses val="autoZero"/>
        <c:auto val="1"/>
        <c:lblAlgn val="ctr"/>
        <c:lblOffset val="100"/>
        <c:noMultiLvlLbl val="0"/>
      </c:catAx>
      <c:valAx>
        <c:axId val="1453878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387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BLPL GROSS TURNOVER (in Lacs)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FINANCIAL!$A$18:$A$19</c:f>
              <c:strCache>
                <c:ptCount val="2"/>
                <c:pt idx="0">
                  <c:v>GROSS TURNOVER (Rs. In Lacs)</c:v>
                </c:pt>
                <c:pt idx="1">
                  <c:v> 2018-19</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val>
            <c:numRef>
              <c:f>FINANCIAL!$A$20</c:f>
              <c:numCache>
                <c:formatCode>General</c:formatCode>
                <c:ptCount val="1"/>
                <c:pt idx="0">
                  <c:v>20972.9</c:v>
                </c:pt>
              </c:numCache>
            </c:numRef>
          </c:val>
          <c:extLst>
            <c:ext xmlns:c16="http://schemas.microsoft.com/office/drawing/2014/chart" uri="{C3380CC4-5D6E-409C-BE32-E72D297353CC}">
              <c16:uniqueId val="{00000000-5A3B-45CC-8537-0D03FB0AC19C}"/>
            </c:ext>
          </c:extLst>
        </c:ser>
        <c:ser>
          <c:idx val="1"/>
          <c:order val="1"/>
          <c:tx>
            <c:strRef>
              <c:f>FINANCIAL!$B$18:$B$19</c:f>
              <c:strCache>
                <c:ptCount val="2"/>
                <c:pt idx="0">
                  <c:v>GROSS TURNOVER (Rs. In Lacs)</c:v>
                </c:pt>
                <c:pt idx="1">
                  <c:v> 2019-20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FINANCIAL!$B$20</c:f>
              <c:numCache>
                <c:formatCode>General</c:formatCode>
                <c:ptCount val="1"/>
                <c:pt idx="0">
                  <c:v>20581.7</c:v>
                </c:pt>
              </c:numCache>
            </c:numRef>
          </c:val>
          <c:extLst>
            <c:ext xmlns:c16="http://schemas.microsoft.com/office/drawing/2014/chart" uri="{C3380CC4-5D6E-409C-BE32-E72D297353CC}">
              <c16:uniqueId val="{00000001-0C6C-4E67-8E02-C325B28ADC3A}"/>
            </c:ext>
          </c:extLst>
        </c:ser>
        <c:ser>
          <c:idx val="2"/>
          <c:order val="2"/>
          <c:tx>
            <c:strRef>
              <c:f>FINANCIAL!$C$18:$C$19</c:f>
              <c:strCache>
                <c:ptCount val="2"/>
                <c:pt idx="0">
                  <c:v>GROSS TURNOVER (Rs. In Lacs)</c:v>
                </c:pt>
                <c:pt idx="1">
                  <c:v> 2020-21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FINANCIAL!$C$20</c:f>
              <c:numCache>
                <c:formatCode>0.0</c:formatCode>
                <c:ptCount val="1"/>
                <c:pt idx="0">
                  <c:v>17341</c:v>
                </c:pt>
              </c:numCache>
            </c:numRef>
          </c:val>
          <c:extLst>
            <c:ext xmlns:c16="http://schemas.microsoft.com/office/drawing/2014/chart" uri="{C3380CC4-5D6E-409C-BE32-E72D297353CC}">
              <c16:uniqueId val="{00000002-0C6C-4E67-8E02-C325B28ADC3A}"/>
            </c:ext>
          </c:extLst>
        </c:ser>
        <c:ser>
          <c:idx val="3"/>
          <c:order val="3"/>
          <c:tx>
            <c:strRef>
              <c:f>FINANCIAL!$D$18:$D$19</c:f>
              <c:strCache>
                <c:ptCount val="2"/>
                <c:pt idx="0">
                  <c:v>GROSS TURNOVER (Rs. In Lacs)</c:v>
                </c:pt>
                <c:pt idx="1">
                  <c:v> 2021-22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FINANCIAL!$D$20</c:f>
              <c:numCache>
                <c:formatCode>General</c:formatCode>
                <c:ptCount val="1"/>
                <c:pt idx="0">
                  <c:v>20210.8</c:v>
                </c:pt>
              </c:numCache>
            </c:numRef>
          </c:val>
          <c:extLst>
            <c:ext xmlns:c16="http://schemas.microsoft.com/office/drawing/2014/chart" uri="{C3380CC4-5D6E-409C-BE32-E72D297353CC}">
              <c16:uniqueId val="{00000003-0C6C-4E67-8E02-C325B28ADC3A}"/>
            </c:ext>
          </c:extLst>
        </c:ser>
        <c:ser>
          <c:idx val="4"/>
          <c:order val="4"/>
          <c:tx>
            <c:strRef>
              <c:f>FINANCIAL!$E$18:$E$19</c:f>
              <c:strCache>
                <c:ptCount val="2"/>
                <c:pt idx="0">
                  <c:v>GROSS TURNOVER (Rs. In Lacs)</c:v>
                </c:pt>
                <c:pt idx="1">
                  <c:v> 2022-23</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FINANCIAL!$E$20</c:f>
              <c:numCache>
                <c:formatCode>General</c:formatCode>
                <c:ptCount val="1"/>
                <c:pt idx="0">
                  <c:v>22572.799999999999</c:v>
                </c:pt>
              </c:numCache>
            </c:numRef>
          </c:val>
          <c:extLst>
            <c:ext xmlns:c16="http://schemas.microsoft.com/office/drawing/2014/chart" uri="{C3380CC4-5D6E-409C-BE32-E72D297353CC}">
              <c16:uniqueId val="{00000004-0C6C-4E67-8E02-C325B28ADC3A}"/>
            </c:ext>
          </c:extLst>
        </c:ser>
        <c:ser>
          <c:idx val="5"/>
          <c:order val="5"/>
          <c:tx>
            <c:strRef>
              <c:f>FINANCIAL!$F$18:$F$19</c:f>
              <c:strCache>
                <c:ptCount val="2"/>
                <c:pt idx="0">
                  <c:v>GROSS TURNOVER (Rs. In Lacs)</c:v>
                </c:pt>
                <c:pt idx="1">
                  <c:v> 2023-24</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FINANCIAL!$F$20</c:f>
              <c:numCache>
                <c:formatCode>General</c:formatCode>
                <c:ptCount val="1"/>
                <c:pt idx="0">
                  <c:v>22643.200000000001</c:v>
                </c:pt>
              </c:numCache>
            </c:numRef>
          </c:val>
          <c:extLst>
            <c:ext xmlns:c16="http://schemas.microsoft.com/office/drawing/2014/chart" uri="{C3380CC4-5D6E-409C-BE32-E72D297353CC}">
              <c16:uniqueId val="{00000005-0C6C-4E67-8E02-C325B28ADC3A}"/>
            </c:ext>
          </c:extLst>
        </c:ser>
        <c:ser>
          <c:idx val="6"/>
          <c:order val="6"/>
          <c:tx>
            <c:strRef>
              <c:f>FINANCIAL!$G$18:$G$19</c:f>
              <c:strCache>
                <c:ptCount val="2"/>
                <c:pt idx="0">
                  <c:v>GROSS TURNOVER (Rs. In Lacs)</c:v>
                </c:pt>
                <c:pt idx="1">
                  <c:v> 2024-25</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FINANCIAL!$G$20</c:f>
              <c:numCache>
                <c:formatCode>General</c:formatCode>
                <c:ptCount val="1"/>
                <c:pt idx="0">
                  <c:v>31260.9</c:v>
                </c:pt>
              </c:numCache>
            </c:numRef>
          </c:val>
          <c:extLst>
            <c:ext xmlns:c16="http://schemas.microsoft.com/office/drawing/2014/chart" uri="{C3380CC4-5D6E-409C-BE32-E72D297353CC}">
              <c16:uniqueId val="{00000006-0C6C-4E67-8E02-C325B28ADC3A}"/>
            </c:ext>
          </c:extLst>
        </c:ser>
        <c:dLbls>
          <c:showLegendKey val="0"/>
          <c:showVal val="0"/>
          <c:showCatName val="0"/>
          <c:showSerName val="0"/>
          <c:showPercent val="0"/>
          <c:showBubbleSize val="0"/>
        </c:dLbls>
        <c:gapWidth val="100"/>
        <c:overlap val="-24"/>
        <c:axId val="825132624"/>
        <c:axId val="825124944"/>
      </c:barChart>
      <c:catAx>
        <c:axId val="8251326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124944"/>
        <c:crosses val="autoZero"/>
        <c:auto val="1"/>
        <c:lblAlgn val="ctr"/>
        <c:lblOffset val="100"/>
        <c:noMultiLvlLbl val="0"/>
      </c:catAx>
      <c:valAx>
        <c:axId val="8251249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5132624"/>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HSE AT A GLANCE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HSE!$A$7</c:f>
              <c:strCache>
                <c:ptCount val="1"/>
                <c:pt idx="0">
                  <c:v>Total LTA Free Million Manhour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HSE!$B$1:$F$1</c:f>
              <c:numCache>
                <c:formatCode>General</c:formatCode>
                <c:ptCount val="5"/>
                <c:pt idx="0">
                  <c:v>2021</c:v>
                </c:pt>
                <c:pt idx="1">
                  <c:v>2022</c:v>
                </c:pt>
                <c:pt idx="2">
                  <c:v>2023</c:v>
                </c:pt>
                <c:pt idx="3">
                  <c:v>2024</c:v>
                </c:pt>
                <c:pt idx="4">
                  <c:v>2025</c:v>
                </c:pt>
              </c:numCache>
            </c:numRef>
          </c:cat>
          <c:val>
            <c:numRef>
              <c:f>HSE!$B$7:$F$7</c:f>
              <c:numCache>
                <c:formatCode>_ * #,##0.00_ ;_ * \-#,##0.00_ ;_ * "-"??_ ;_ @_ </c:formatCode>
                <c:ptCount val="5"/>
                <c:pt idx="0">
                  <c:v>0.25639000000000001</c:v>
                </c:pt>
                <c:pt idx="1">
                  <c:v>0.84435199999999999</c:v>
                </c:pt>
                <c:pt idx="2">
                  <c:v>1.2921899999999999</c:v>
                </c:pt>
                <c:pt idx="3">
                  <c:v>1.8176620000000001</c:v>
                </c:pt>
                <c:pt idx="4">
                  <c:v>1.0163199999999999</c:v>
                </c:pt>
              </c:numCache>
            </c:numRef>
          </c:val>
          <c:extLst>
            <c:ext xmlns:c16="http://schemas.microsoft.com/office/drawing/2014/chart" uri="{C3380CC4-5D6E-409C-BE32-E72D297353CC}">
              <c16:uniqueId val="{00000000-D898-48A5-BB92-C441B6AACC55}"/>
            </c:ext>
          </c:extLst>
        </c:ser>
        <c:ser>
          <c:idx val="1"/>
          <c:order val="1"/>
          <c:tx>
            <c:strRef>
              <c:f>HSE!$A$8</c:f>
              <c:strCache>
                <c:ptCount val="1"/>
                <c:pt idx="0">
                  <c:v>Cumulative LTA Free Million Manhour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dispRSqr val="0"/>
            <c:dispEq val="0"/>
          </c:trendline>
          <c:cat>
            <c:numRef>
              <c:f>HSE!$B$1:$F$1</c:f>
              <c:numCache>
                <c:formatCode>General</c:formatCode>
                <c:ptCount val="5"/>
                <c:pt idx="0">
                  <c:v>2021</c:v>
                </c:pt>
                <c:pt idx="1">
                  <c:v>2022</c:v>
                </c:pt>
                <c:pt idx="2">
                  <c:v>2023</c:v>
                </c:pt>
                <c:pt idx="3">
                  <c:v>2024</c:v>
                </c:pt>
                <c:pt idx="4">
                  <c:v>2025</c:v>
                </c:pt>
              </c:numCache>
            </c:numRef>
          </c:cat>
          <c:val>
            <c:numRef>
              <c:f>HSE!$B$8:$F$8</c:f>
              <c:numCache>
                <c:formatCode>_ * #,##0.00_ ;_ * \-#,##0.00_ ;_ * "-"??_ ;_ @_ </c:formatCode>
                <c:ptCount val="5"/>
                <c:pt idx="0">
                  <c:v>0.25639000000000001</c:v>
                </c:pt>
                <c:pt idx="1">
                  <c:v>1.1007419999999999</c:v>
                </c:pt>
                <c:pt idx="2">
                  <c:v>2.3929320000000001</c:v>
                </c:pt>
                <c:pt idx="3">
                  <c:v>4.2105940000000004</c:v>
                </c:pt>
                <c:pt idx="4">
                  <c:v>5.2269140000000007</c:v>
                </c:pt>
              </c:numCache>
            </c:numRef>
          </c:val>
          <c:extLst>
            <c:ext xmlns:c16="http://schemas.microsoft.com/office/drawing/2014/chart" uri="{C3380CC4-5D6E-409C-BE32-E72D297353CC}">
              <c16:uniqueId val="{00000001-D898-48A5-BB92-C441B6AACC55}"/>
            </c:ext>
          </c:extLst>
        </c:ser>
        <c:dLbls>
          <c:showLegendKey val="0"/>
          <c:showVal val="0"/>
          <c:showCatName val="0"/>
          <c:showSerName val="0"/>
          <c:showPercent val="0"/>
          <c:showBubbleSize val="0"/>
        </c:dLbls>
        <c:gapWidth val="100"/>
        <c:overlap val="-24"/>
        <c:axId val="1985671823"/>
        <c:axId val="1985672783"/>
      </c:barChart>
      <c:catAx>
        <c:axId val="1985671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672783"/>
        <c:crosses val="autoZero"/>
        <c:auto val="1"/>
        <c:lblAlgn val="ctr"/>
        <c:lblOffset val="100"/>
        <c:noMultiLvlLbl val="0"/>
      </c:catAx>
      <c:valAx>
        <c:axId val="1985672783"/>
        <c:scaling>
          <c:orientation val="minMax"/>
        </c:scaling>
        <c:delete val="0"/>
        <c:axPos val="l"/>
        <c:majorGridlines>
          <c:spPr>
            <a:ln w="9525" cap="flat" cmpd="sng" algn="ctr">
              <a:solidFill>
                <a:schemeClr val="lt1">
                  <a:lumMod val="95000"/>
                  <a:alpha val="10000"/>
                </a:schemeClr>
              </a:solidFill>
              <a:round/>
            </a:ln>
            <a:effectLst/>
          </c:spPr>
        </c:majorGridlines>
        <c:numFmt formatCode="_ * #,##0.00_ ;_ * \-#,##0.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856718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378883</xdr:colOff>
      <xdr:row>0</xdr:row>
      <xdr:rowOff>46566</xdr:rowOff>
    </xdr:from>
    <xdr:to>
      <xdr:col>10</xdr:col>
      <xdr:colOff>446616</xdr:colOff>
      <xdr:row>15</xdr:row>
      <xdr:rowOff>59266</xdr:rowOff>
    </xdr:to>
    <xdr:graphicFrame macro="">
      <xdr:nvGraphicFramePr>
        <xdr:cNvPr id="2" name="Chart 1">
          <a:extLst>
            <a:ext uri="{FF2B5EF4-FFF2-40B4-BE49-F238E27FC236}">
              <a16:creationId xmlns:a16="http://schemas.microsoft.com/office/drawing/2014/main" id="{5780AF03-3D98-4C7B-8DC7-AAB37FF64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578455</xdr:colOff>
      <xdr:row>18</xdr:row>
      <xdr:rowOff>24796</xdr:rowOff>
    </xdr:from>
    <xdr:to>
      <xdr:col>16</xdr:col>
      <xdr:colOff>326572</xdr:colOff>
      <xdr:row>28</xdr:row>
      <xdr:rowOff>37495</xdr:rowOff>
    </xdr:to>
    <xdr:graphicFrame macro="">
      <xdr:nvGraphicFramePr>
        <xdr:cNvPr id="3" name="Chart 2">
          <a:extLst>
            <a:ext uri="{FF2B5EF4-FFF2-40B4-BE49-F238E27FC236}">
              <a16:creationId xmlns:a16="http://schemas.microsoft.com/office/drawing/2014/main" id="{74A6D691-9076-4F6F-B2D3-CA1A4B62B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622905</xdr:colOff>
      <xdr:row>0</xdr:row>
      <xdr:rowOff>10279</xdr:rowOff>
    </xdr:from>
    <xdr:to>
      <xdr:col>20</xdr:col>
      <xdr:colOff>223763</xdr:colOff>
      <xdr:row>15</xdr:row>
      <xdr:rowOff>42333</xdr:rowOff>
    </xdr:to>
    <xdr:graphicFrame macro="">
      <xdr:nvGraphicFramePr>
        <xdr:cNvPr id="4" name="Chart 3">
          <a:extLst>
            <a:ext uri="{FF2B5EF4-FFF2-40B4-BE49-F238E27FC236}">
              <a16:creationId xmlns:a16="http://schemas.microsoft.com/office/drawing/2014/main" id="{0F10F29B-57B3-4D2A-B1A0-1DF1CEFC6B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411237</xdr:colOff>
      <xdr:row>26</xdr:row>
      <xdr:rowOff>16328</xdr:rowOff>
    </xdr:from>
    <xdr:to>
      <xdr:col>27</xdr:col>
      <xdr:colOff>278191</xdr:colOff>
      <xdr:row>43</xdr:row>
      <xdr:rowOff>24190</xdr:rowOff>
    </xdr:to>
    <xdr:graphicFrame macro="">
      <xdr:nvGraphicFramePr>
        <xdr:cNvPr id="5" name="Chart 4">
          <a:extLst>
            <a:ext uri="{FF2B5EF4-FFF2-40B4-BE49-F238E27FC236}">
              <a16:creationId xmlns:a16="http://schemas.microsoft.com/office/drawing/2014/main" id="{CCB48707-F518-4982-9C94-44AC00C30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184150</xdr:colOff>
      <xdr:row>0</xdr:row>
      <xdr:rowOff>67732</xdr:rowOff>
    </xdr:from>
    <xdr:to>
      <xdr:col>15</xdr:col>
      <xdr:colOff>251883</xdr:colOff>
      <xdr:row>15</xdr:row>
      <xdr:rowOff>67732</xdr:rowOff>
    </xdr:to>
    <xdr:graphicFrame macro="">
      <xdr:nvGraphicFramePr>
        <xdr:cNvPr id="2" name="Chart 1">
          <a:extLst>
            <a:ext uri="{FF2B5EF4-FFF2-40B4-BE49-F238E27FC236}">
              <a16:creationId xmlns:a16="http://schemas.microsoft.com/office/drawing/2014/main" id="{A7BA4A2D-3391-439D-85EE-3C042671E0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44450</xdr:colOff>
      <xdr:row>17</xdr:row>
      <xdr:rowOff>33866</xdr:rowOff>
    </xdr:from>
    <xdr:to>
      <xdr:col>15</xdr:col>
      <xdr:colOff>112183</xdr:colOff>
      <xdr:row>32</xdr:row>
      <xdr:rowOff>33866</xdr:rowOff>
    </xdr:to>
    <xdr:graphicFrame macro="">
      <xdr:nvGraphicFramePr>
        <xdr:cNvPr id="3" name="Chart 2">
          <a:extLst>
            <a:ext uri="{FF2B5EF4-FFF2-40B4-BE49-F238E27FC236}">
              <a16:creationId xmlns:a16="http://schemas.microsoft.com/office/drawing/2014/main" id="{951E6368-D259-59B3-5C1B-8D5A40607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594783</xdr:colOff>
      <xdr:row>4</xdr:row>
      <xdr:rowOff>71966</xdr:rowOff>
    </xdr:from>
    <xdr:to>
      <xdr:col>14</xdr:col>
      <xdr:colOff>19050</xdr:colOff>
      <xdr:row>19</xdr:row>
      <xdr:rowOff>84666</xdr:rowOff>
    </xdr:to>
    <xdr:graphicFrame macro="">
      <xdr:nvGraphicFramePr>
        <xdr:cNvPr id="2" name="Chart 1">
          <a:extLst>
            <a:ext uri="{FF2B5EF4-FFF2-40B4-BE49-F238E27FC236}">
              <a16:creationId xmlns:a16="http://schemas.microsoft.com/office/drawing/2014/main" id="{E2E008DF-07F1-A4E1-7089-24C7353065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ukesal\Tenders\ACE%20REV%2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agayaraj\SCAN\Backup\DMRC%20IT%20park\project%20documents\Kuwait%20Audit%20Bureau\Rate%20Analys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jjj\share\shell\wp5\ACE\DRAFT\WP5\PRESENT\invoic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13%20Work%20Requisition\Final%20QPL%20Rev.2_%20dtd%2023-Apr-2009\3-LC001_2\3498-Q&amp;PL,Rev.0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NGDOC~1/MSQUIO~1/est-FF-00-0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77;&#50976;\&#53664;&#44148;inquiry\My%20Documents\MLNG-TIGA\&#44036;&#51217;&#48708;\&#44036;&#51217;%20TOTAL%20REV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thef002\ONGC%20WORP%20MEHSANA\MS\Working\Anubhav\Engineering%20Table\D-1056-00-WORP-MS-ET-0001%20(Engineering%20Table)_Rev.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O:\Documents%20and%20Settings\ci1056\My%20Documents\DQR\Sample%20PS%20DI\PS-1300-Rev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DYAN%20GAS%20FACILITIES/MS/Working/ENGINEERING%20TABLE/Rev01/D-1057-MIDYAN-MS-ET-0001%20REV.0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Phong%20Kinh%20Te\LUC\EXCEL\Th&#199;u\Du%20thau%20Y&#170;n%20Minh%20-%20H&#181;%20Gia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LVTD\MSOffice\EXCEL\LUC\DT%20DZ%2022+TBA%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LVTD\MSOffice\EXCEL\LUC\HY3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DYAN%20GAS%20FACILITIES/MS/Working/ENGINEERING%20TABLE/Rev01/D-1057-MGPF-MS-ET-0001_REV%200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hong\dau%20thau%20dot\DTOAN-XD\DUTO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Ramesh\c\Amrit%20Desktop\BC4%20Post%20Award\Tender\Copy%20of%20for%20DS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JKKIM\&#44277;&#49324;&#54788;&#54889;\&#45236;&#49436;&#47448;&#44032;&#48169;\9901&#44277;&#49324;&#54788;&#54889;\leejmn9904\REPORT0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Documents%20and%20Settings\skg\Desktop\AMEL%20BUDGT%20CF\AMEL%20dt%2027.01\Tender%20-%20AMEL%20C-2%20As%20on%202nd%20sub12.11.200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1/AD2003/Projects%202003/Middle%20east/Palm1/Cost%20analisis%201st%20tender/VF%20USA/Forms/RiskAnalysisSheet.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ibuserver\domcont\Resmy\UCIL\Cost\CIVIL-PGCIL-REV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afcl0168\SAF\WORKING%20FILE\INTERNATIONAL\technip-coflexip\moho%20bilondo\revised%20format\disk%201%20rev.%20format\TEPC%202197-SC002-EXB-Mech-BOQ-rev0%20(submissio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afdfssaf.saipem.pri\saf\GENERIC_FPSO\CHEVRON\Liste%20EQP\Liste%20EQP%20Negage_BOpe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sers/saf922322/AppData/Local/Microsoft/Windows/Temporary%20Internet%20Files/Content.Outlook/E6ASFWQZ/MUNDRA-%20LNG%20Tank_rev%2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omcont/ags/rpn/Sriram/VIZAG/Schedules%20-%20RINL.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uc-thu\d\MINHHUNG\Truyentai\Phong-A-TPHCM\LUUTAM\VBAO\BookJHFGJGXBGCCNCVCCVVCVCC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roposal%20&amp;%20Contracts/Ramagundam/Reformer%20Pkg/Price%20working/Final%20cost%2025062016/P&amp;M%20Analysis%20-%20Shell.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acserver\data1\pulau%20final\WINDOWS\Desktop\New%20Folder\Qo-158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Phong\dau%20thau%20dot\My%20Documents\Phong\DIR00031\PHONG\Xls\Dutoan98\PHUTHU\1997%20chuyen%20sang\DUTOA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q4\planning\Documents%20and%20Settings\IBM\Local%20Settings\Temporary%20Internet%20Files\Content.IE5\C1E7WHE7\ramesh%20sir%20works\DMRC%20PHASE%20II\Shadra-Dilshad%20garden\Post%20Award\Post%20Tender\BC-4%20tender%20(with%20modifications).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My%20Documents\HIEN%20HAI\QUAN-8\My%20Documents\PHONG\Quan%208\quyet%20toan\THAI\TAN-THOI%20HIEP\excel\Saigon%20Electro\TUAN\Gia%20dinh\DUTOAN.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My%20Documents\HIEN%20HAI\QUAN-8\My%20Documents\PHONG\Quan%208\quyet%20toan\THAI\TAN-THOI%20HIEP\excel\Saigon%20Electro\TUAN\My%20Documents\Worldbank\DOT1\Excel\Program\DUTOAN.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Users/998133/AppData/Local/Temp/notesC9812B/Midyan%20Construction%20Direct%20Manhours%20-%20Submission.xlsx" TargetMode="External"/></Relationships>
</file>

<file path=xl/externalLinks/_rels/externalLink34.xml.rels><?xml version="1.0" encoding="UTF-8" standalone="yes"?>
<Relationships xmlns="http://schemas.openxmlformats.org/package/2006/relationships"><Relationship Id="rId2" Type="http://schemas.microsoft.com/office/2019/04/relationships/externalLinkLongPath" Target="file:///A:\My%20Documents\dung\PhuMy%20Fertilizer%20Project\Payment3\My%20Documents\HIEN%20HAI\QUAN-8\My%20Documents\PHONG\Quan%208\quyet%20toan\THAI\TAN-THOI%20HIEP\excel\Saigon%20Electro\TUAN\My%20Documents\Worldbank\DOT1\Phong\Excel\Du%20toan%2099\WB%20dot%203\CK70703.XLS?AE22EBBD" TargetMode="External"/><Relationship Id="rId1" Type="http://schemas.openxmlformats.org/officeDocument/2006/relationships/externalLinkPath" Target="file:///\\AE22EBBD\CK7070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Kt001sf0006\846\Users\00732%20-msa\PR3F3\OUTPUT\DOCUMENT\00732-000-CN-1732-27_%20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c-thu\d\MINHHUNG\Truyentai\Phong-A-TPHCM\TVT\PTHO\DUTOANWB.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Documents%20and%20Settings/20005623/Application%20Data/Microsoft/Excel/StdQtyCalc_NFL_2ndPhase_Rev4_Panipat-10.07.08.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Users/saf009587/AppData/Roaming/Microsoft/Excel/HAZIRA-LNG%20Tank_revFopen%20(version%20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Venkat\DSIIDC\PCA\PCA%20FINAL%20BAPROLA%2010.02.2008\DSIIDC%2009.02.2008\PCA%20FINAL%2009.02.2008\RK%20in%20IVRCL\Tender\4.DSIIDC%20bhawana\1.DSIDC%20Najafgarh\DSIDC%20Najafgarh\Rakesh%20Singh\Hotel\HOTEL-Project%20analysis%20(%20civil%2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CHINA/PROJECT/CONTROL/CST_STAT.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0.112.35.41\ioc-proposal\kumar\17sept.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5.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Documents%20and%20Settings\venkateswar.BCEOM-INDIA\My%20Documents\PROJECT%20WORKS\RAJKOT-JAMNAGAR\Sanjoy%20Datta%20Office\Sanjoy%20Datta\Belgaum%20M.%20R.%20P\BMRP%20(Received)\Analysis-Dharwad-Rigid+flexi%20-%20PL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92.168.15.1\progetti\225_Process\Block%203B%20units\421-Red%20Vap-Cond\05edss\421%20F-001_A_B_C\RevAA\OLDCODE.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THEME9\G\WINDOWS\Desktop\Complete%20Data%20for%20DPR\PRIORITY%20ROADS\BADAMALAHRA\Belda\Complete%20Data%20for%20DPR\Tests\Badamalahra\Bhelda\bhelda%20300m.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es-pc-107\c\PUNEET\99024\VSLAB%20OLD.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lal\Share\BandF\Housing\kkp\KKP-ISO\KKP-ISO-9001-1994\stds\GN-ST-06(2)(Design%20Sheet-Ruled).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asv0158\spider_template$\SAIPEM\LOCAL\Projects\YohoB\Calc\LOCAL\StrSoft\Develop\Wave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sasv0158\spider_template$\SAIPEM\Instrumentation\de4pg\ALG298-XL00-00TBD-134401-1(sie).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Edrcserver3\Design\DOCUME~1\tjs\LOCALS~1\Temp\a\Dslp.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RK/UPDATE/7600PJ/DEC98/JAETTY.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rva020\atyrau$\Working%20Area\1310%20CIVIL\BQ%20DCE\&#27744;&#30000;Data.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mn\tender\My%20Documents\Calendarusefu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MRRD/03%20Department%20Use/04%20PP/10.%20Material%20Engineering/ITB/17-11-2011/09.%20LINE%20LIST/For%20PDS/Rev%200/HYDRO%20TEST%20Calculation_Rev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F:\Venkat\DSIIDC\PCA\PCA%20FINAL%20BAPROLA%2010.02.2008\DSIIDC%2009.02.2008\PCA%20FINAL%2009.02.2008\Documents%20and%20Settings\EDP\Desktop\Documents%20and%20Settings\Administrator\Desktop\BOQ%20Ambedkar%20Maidan,%20Lucknow.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TENDER\AZZAWIYA%20REFINERY%20REVAMP%20-%20LIBYA\PIPING\Pipe%20Estimation%20Sheet.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Pc-131\c\anirban\DLs-I.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asv0158\spider_template$\SAIPEM\Documents%20and%20Settings\sp16150\Desktop\LOCAL\Projects\YohoB\Calc\LOCAL\StrSoft\Develop\Wave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92.168.15.1\progetti\225_Process\Block%203B%20units\421-Red%20Vap-Cond\05edss\421%20F-001_A_B_C\RevAA\PRINT.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snagaraj\share\Domestic%20Projects\JNPT\Pavements,%20rails%20&amp;%20services\Cost%20Workings\qty%20cal.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DOCUME~1/SAF003~1/LOCALS~1/Temp/F08019-SSA-000-EQP-LST-0001%20-%20Rev%20A%20-%20Turret.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Documents%20and%20Settings/saf003917/Local%20Settings/Temporary%20Internet%20Files/OLK3F7/F17158FPSOG-SSA-000-EQP-LST-0001_A%20PRICED01.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Suresh\c%20on%20suresh\WINDOWS\TEMP\cidcoanalysi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LSERVER\tldesign\L&amp;T\GRIDCO-Colony\220&amp;132.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el-lbg2xp\PKG%20I\Shared%20for%20All\MHPatil\DATA\Bank\Final%20Detailed%20Project%20Report\Volume%20V%20Rate%20Analysis\Rate%20Analysis%20%20%20MP-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E:\AMIT%20WORK\02%20BLPL\84%20RCD%20GARHWA\V4_BOQ_AllinOne.xlsm"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Documents%20and%20Settings\STEEV\My%20Documents\FCG2\FCG\India\Cochin%20Port%20-%20Kerala\L%20and%20T%20ECC%20Div\L%20and%20T%20ECC%20Div\S.C%20+%20Cost%20Study%2018.07.07.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50.0.46.17\project\RK\KERALA\ESTISEWA.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Kt001sf0006\846\Documents%20and%20Settings\abrp\Desktop\TS-03.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erver\g\WINDOWS\Desktop\Complete%20Data%20for%20DPR\PRIORITY%20ROADS\BADAMALAHRA\Belda\Ghuwara-%20Indora%20Road%20to%20Bhelda%20Village_DPR_21-11-04.xls" TargetMode="External"/></Relationships>
</file>

<file path=xl/externalLinks/_rels/externalLink74.xml.rels><?xml version="1.0" encoding="UTF-8" standalone="yes"?>
<Relationships xmlns="http://schemas.openxmlformats.org/package/2006/relationships"><Relationship Id="rId2" Type="http://schemas.microsoft.com/office/2019/04/relationships/externalLinkLongPath" Target="file:///A:\My%20Documents\dung\PhuMy%20Fertilizer%20Project\Payment3\My%20Documents\HIEN%20HAI\QUAN-8\My%20Documents\PHONG\Quan%208\quyet%20toan\THAI\TAN-THOI%20HIEP\excel\Saigon%20Electro\TUAN\My%20Documents\Worldbank\DOT1\Phong\Excel\Du%20toan%2099\WB%20dot%203\Duyet.xls?AE22EBBD" TargetMode="External"/><Relationship Id="rId1" Type="http://schemas.openxmlformats.org/officeDocument/2006/relationships/externalLinkPath" Target="file:///\\AE22EBBD\Duyet.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Rajeev\e\NH%2014-76\Final%20PPR\Volume%20II%20%20Design%20Report\Annexures\Inventory%20-%20NH-76.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50.0.46.17\project\RK\UPDATE\7600PJ\DEC98\JAETTY.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RH\shell\shell\wp5\ACE\DRAFT\WP5\PRESENT\invoice.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A:\JOB\Po0477\rev1\EXCEL\WORK\AHU_CJ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AMIT%20WORK\02%20BLPL\37%20MORTH%20JHARKHAND%20NH98\NH98%20EXECUTION%20OF%20WORKS\nh98%20dwgs%20p&amp;p\Accrete\Transys\Prebid\Ranchi-Jamshedpur\BOQ_Format_For_BOT_Road_Project.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http://hicpmoss.encnet.com:2014/Documents%20and%20Settings/271003/My%20Documents/Electrical/Calculation/Heat%20Load%20Calc/HEAT%20LOSS%20CALCULATION%20L&amp;T%20Switchboard.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MDHD/DEPT_USE/PP/LTC-PP/Mat-Spec/6.%20MTO/AG/Input/AreaInput/1st%20MTO_MDHD_HDP-w.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MDHD/DEPT_USE/PP/LTC-PP/Mat-Spec/6.%20MTO/UG/Input/Rev0B/SW%20&amp;%20RW.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PROPOSALS/LIVE%20PROPOSALS/SARB%20Field%20Development%20Modular%20Plant%20Mar%202011/PROPOSAL%20%20ENGINEERING/STATIC%20%20EQUIPMENT/2.INPUT%20DATA/From%20GSEC/(sarb4)equipment%20list_rev.2.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mailc.gsconst.co.kr/mail13/66893.nsf/vUnid/DC1D61933BF830BB49257A1D00164B4B/$FILE/Lnx$LPS-A301(Excel)_.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chedule\weekly\Hung%20DA\AT-ANH\PARKER\My%20Documents\HS00\BAOGIA\Mien%20nam\Namconson_SK\09-str~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in003vs0021\TPMOCDFS\Users\styagi\Desktop\Updated%20Summary%20_%2021.11.xlsx"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20TOTAL%20REV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http://mailc.gsconst.co.kr/mail13/66893.nsf/vUnid/DC1D61933BF830BB49257A1D00164B4B/$FILE/CODE509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pserver\Pens_Idt_Cond\JOB\98131\RDA\JOB\98123\XSC\0024_01A.XLW"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192.168.15.1\progetti\JOB\98131\RDA\JOB\98123\XSC\0024_01A.XLW"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safdfssaf.saipem.pri\saf\Documents%20and%20Settings\saf922660\Local%20Settings\Temporary%20Internet%20Files\OLK99F\DOCUME~1\dpaquier\LOCALS~1\Temp\c.notes.data\Aero_V1.0.xls" TargetMode="External"/></Relationships>
</file>

<file path=xl/externalLinks/_rels/externalLink92.xml.rels><?xml version="1.0" encoding="UTF-8" standalone="yes"?>
<Relationships xmlns="http://schemas.openxmlformats.org/package/2006/relationships"><Relationship Id="rId2" Type="http://schemas.microsoft.com/office/2019/04/relationships/externalLinkLongPath" Target="file:///A:\My%20Documents\dung\PhuMy%20Fertilizer%20Project\Payment3\My%20Documents\HIEN%20HAI\QUAN-8\My%20Documents\PHONG\Quan%208\quyet%20toan\THAI\TAN-THOI%20HIEP\excel\Saigon%20Electro\TUAN\My%20Documents\Worldbank\DOT1\Excel\Data\Tinh%20tong%20hop%20du%20toan.xls?A657FE41" TargetMode="External"/><Relationship Id="rId1" Type="http://schemas.openxmlformats.org/officeDocument/2006/relationships/externalLinkPath" Target="file:///\\A657FE41\Tinh%20tong%20hop%20du%20toan.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Edrcserver3\Design\C7041\DESCALC\Battr1.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WINDOWS\TEMP\MYFORM.XLS" TargetMode="External"/></Relationships>
</file>

<file path=xl/externalLinks/_rels/externalLink95.xml.rels><?xml version="1.0" encoding="UTF-8" standalone="yes"?>
<Relationships xmlns="http://schemas.openxmlformats.org/package/2006/relationships"><Relationship Id="rId1" Type="http://schemas.microsoft.com/office/2006/relationships/xlExternalLinkPath/xlPathMissing" Target="CW"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Users\DG\Essar%20Oil\Exchanger%20Foundations\Final\701B\Cal..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HDIL\Budget\Copy%20of%20HDIL%20CTC(Latest)-14th%20aug%20(4).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SWC037\APPLI\Travail.Txt\AMENAM\DRAFT\ARTCP\NDOCBT.TXT"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R:\RODM\DEPT_USE\EL\03_LOAD%20ANALYSIS\Load%20Analysis_RODM_working_230209_new%20SLD.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On-Shore%20S1%20Vashishta/Engineering/WV's/Civil%20Structural%20BOQ/Superceded/Civil%20BOQ%20R1%20new%20sor%20format.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Safdfssaf.saipem.pri\saf\SHTOKMAN_CCFT\DISCIPLINES\02.%20PROCESS\2PF%20EPC%20PRE-AWARD%20ACTIVITIES\05%20-%20Calculation%20Notes\07%20-%20PSV\Gas%20Section\Gas%20Compressors\CAL-SSA-ENG-PCS356-E_1%20-%20PSV-SIZE.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Users\DG\Essar%20Oil\Exchanger%20Foundations\10E-402B-F\Footing%20Design.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Users/20045681/AppData/Local/Temp/notesBAAA25/1.%20BAB1_Input%20Format.xlsx"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KYTHUAT\DUTOAN\DNC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users-data/saf010001/Documents/HAZIRA%203rd%20Tank/Design/Nouveau%20dossier/HAZIRA-LNG%20Tank_revG.xlsm"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E:\AMIT%20WORK\02%20BLPL\37%20MORTH%20JHARKHAND%20NH98\NH98%20EXECUTION%20OF%20WORKS\nh98%20dwgs%20p&amp;p\Accrete\Nexengg\Lebad%20-%20Manpur%20-%204Lane%20(Prebid)\Agarwal\New%20Folder\ces\disk2\DNFP.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GENERIC_FPSO/Material%20Take%20Offs/XL97/metre/stub.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es-pc-067\c\Faiyaz\tuni\20.80TG.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E:\AMIT%20WORK\02%20BLPL\37%20MORTH%20JHARKHAND%20NH98\NH98%20EXECUTION%20OF%20WORKS\nh98%20dwgs%20p&amp;p\Parwanoo%20-%20Solan\BOQ-Parwanoo-Solan%20(Rao)\Breakup%20Quantity%20for%20Viaduct%20NH-22.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Ibm4\F4\NH-46\Pkg%203%20NH-46\SubStr38-1_NH46.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A:\Siva\My%20Documents\BSS\Welding-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Server\ctc\4009\ctc-04009-rev1.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Proposal%20&amp;%20Contracts/Ramagundam/Reformer%20Pkg/Price%20working/Final%20cost%2025062016/Mechanical%20Cost%20Working%20-%20Reformer%20pkg%20R%2019%20A.xlsx"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My%20Documents\Excel%20Files\TIDCO\Files%20From%20Chiyoda%20&amp;%20VKK's%20team\1512EIR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MDHD/DEPT_USE/PP/LTC-PP/Mat-Spec/6.%20MTO/AG/Input/AreaInput/1st%20MTO_MDHD_VMB.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Ittofileserver4\COMMESSE4\ELA-L341\OFFERTE%20IN%20PREPARAZIONE\KOCHI%20-%20PETRONET\KOCHI_CORRENTI%20FORTI\LAVORO%20MIP\computi\Kochi_CPP_electrical%20_Bulk_MTO_R0%204_8_06.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A:\deck.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IN/GEN_PROJ/yemen%20lpg/deliverable/INDEX/Final%20index.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kumar\agenda.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Schedule\weekly\Hung%20DA\AT-ANH\PARKER\My%20Documents\HS00\DTTK\parker\Dieuchinh\Quote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E:\AMIT%20WORK\02%20BLPL\37%20MORTH%20JHARKHAND%20NH98\NH98%20EXECUTION%20OF%20WORKS\nh98%20dwgs%20p&amp;p\Accrete\Nexengg\Lebad%20-%20Manpur%20-%204Lane%20(Prebid)\Nh6-Revision\ROB-24-1\P9-revised.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Pmg\d\ELECT\Calculation\Battery%20&amp;%20Battery%20charger\REV%20R1\lvsizing.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On-Shore%20S1%20Vashishta/Engineering/WV's/Civil%20Structural%20BOQ/ONGC%20Vashistha%20Civilstructural%20BOQ%20rev%2002.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QT-DLUC\DIEN-CO3\STHU-CDE\q-STCDe2.xls" TargetMode="External"/></Relationships>
</file>

<file path=xl/externalLinks/_rels/externalLink125.xml.rels><?xml version="1.0" encoding="UTF-8" standalone="yes"?>
<Relationships xmlns="http://schemas.openxmlformats.org/package/2006/relationships"><Relationship Id="rId1" Type="http://schemas.microsoft.com/office/2006/relationships/xlExternalLinkPath/xlPathMissing" Target="???%20??%20(?)"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Edrcserver3\design\Elec-Mech\EandI\Krv\T1399-E-SY-CPCL\Battery\BATR0003al.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A:\RK\KERALA\ESTISEWA.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Documents%20and%20Settings/saf003917/Local%20Settings/Temporary%20Internet%20Files/OLK3F7/EQP%20LOw%20CostFPSO_E%20(master%20coque).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MDHD/DEPT_USE/PP/LTC-PP/Mat-Spec/6.%20MTO/AG/Input/AreaInput/Copy%20of%20MTO_ENTRY_SHEET-MDHD_AFC_BL_to%20ams-w.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in002sf0002\IOCL_BGR_EPCC-1\TCM%20PROPOSAL\KALTIM-5\List%20of%20deliverables\3585%20List%20of%20deliverables%20-%20Is.%2000.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lten\mrpl\OHCU\DEPT_USE\IN\inst%20index\INDEX.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lten\mrpl\CVDU\DEPT_USE\IN\CVDU-SUB-IN\Index\INST%20INDEX%20-%20310-311-315-WITH%20PURG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Pmg\d\ELECT\Calculation\Battery%20&amp;%20Battery%20charger\REV%20R1\REF_CALCS\CWpump.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Users/20045681/AppData/Local/Temp/notesBAAA25/PAD-111_P&amp;ID%20MTO_KAPIL.xlsx"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https://lnteccmail.lntecc.com/Temp/MACHINE.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Documents%20and%20Settings/Administrator/Desktop/RMC_DELHI_05_06_Form%206%20&amp;%207.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ESD/P3(Qg-Bao)/Kiemtra.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safdfssaf.saipem.pri\SAF\users-data\saf010001\Documents\MUNDRA\Design\Full_Containment_Earthquake_API%20revL%2002-1%20traduc.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SRINU%20DATA-08.01.2020/BCD%20SOR%20Excel/bcd_soft_copy_vol_3.xlsx"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E:\Ranjani\Misc\ARRR-ver-1104.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IGD/03%20Department%20Use/11%20PP/10%20Mat-Spec/07%20Temp/WORK%20VOLUME%20CHECK/IGD-PP-BM-001_AG_Rev%20P0.xlsx"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7\BOQ_M7.xls" TargetMode="External"/></Relationships>
</file>

<file path=xl/externalLinks/_rels/externalLink143.xml.rels><?xml version="1.0" encoding="UTF-8" standalone="yes"?>
<Relationships xmlns="http://schemas.openxmlformats.org/package/2006/relationships"><Relationship Id="rId2" Type="http://schemas.microsoft.com/office/2019/04/relationships/externalLinkLongPath" Target="/PROPOSALS/OLD%20PROPOSALS/PROCESS%20PLANT/HGU_AMMONIA_UREA/HGU%20Sohar%20Refinery%20Expansion%20Project%20DEC%202012/Proposal%20Engineering/C&amp;S/Working%20folders/Common/MTO%20final/MTO/Latest/working/HGU_civil%20StrMTO_GS%20format_to%20LTC_R1.xlsm?F30A3F37" TargetMode="External"/><Relationship Id="rId1" Type="http://schemas.openxmlformats.org/officeDocument/2006/relationships/externalLinkPath" Target="file:///\\F30A3F37\HGU_civil%20StrMTO_GS%20format_to%20LTC_R1.xlsm"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Documents%20and%20Settings/saf003917/Local%20Settings/Temporary%20Internet%20Files/OLK3F7/F17158FPSOG-SSA-000-EQP-LST-0001_A.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FRSSVLOR1\Industrie\AFFAIRES%20en%20cours\S43551_Feed%20%20for%20Jubilee%20FPSO\01.%20Donn&#233;es%20d'entr&#233;e\FPSO%20Generic\Generic%20Documents\Equipment\List%20EQP\FPSOGEN_EquipmentList_Hull_Master_EN%20COURS.xls" TargetMode="External"/></Relationships>
</file>

<file path=xl/externalLinks/_rels/externalLink146.xml.rels><?xml version="1.0" encoding="UTF-8" standalone="yes"?>
<Relationships xmlns="http://schemas.openxmlformats.org/package/2006/relationships"><Relationship Id="rId1" Type="http://schemas.microsoft.com/office/2006/relationships/xlExternalLinkPath/xlStartup" Target="MPRs/Annexure%20I%20(Progress%20Curves)/FLMPR/HDT_MANF.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epc\PROJ\MPRs\Annexure%20II%20(Status%20Reports)\DummyRef.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DOCUME~1/20036995/LOCALS~1/Temp/notes87944B/ongc%20vashishta/Confidential/CIVIL%20BOQ%20Rev_0.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IGD1/03%20Department%20Use/09%20PP/10%20Mat-Spec/03%20MTO/2.%20AG-Bulk/01%20Issued/Rev%20P0/IGD-1_MTO%20%2014%20Aug.xlsx"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DOCUME~1/20036995/LOCALS~1/Temp/notes87944B/ONGC%20Vashistha%20Civil%20Structural%20BOQ%20Rev%2003.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My%20Documents\HIEN%20HAI\QUAN-8\My%20Documents\PHONG\Quan%208\quyet%20toan\THAI\TAN-THOI%20HIEP\excel\Saigon%20Electro\TUAN\CANHAN\MUNG\THOP95.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F:\Documents%20and%20Settings\Administrator\Desktop\ivrcl%20bhppjan08\IVRCL%20BHPP%20FINAL%20VIJAY%20DEC.07\IVRCL%20BHPP%20DEC.07%20MIS%20REPORT.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VSRK\TENDERS\TENDER%20FOR%20MUNDRA%20BULK%20TERMINAL,%20MPSEZL\PRICE\HQ\varada%20Workings-boq%20corrected.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E:\Users\gepadmin\Desktop\BOQ_itemrate_turnkey.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PROJ2\DEPT6\JOB\11396\CALCULA\REPORT\EXTRAC.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MIDYAN%20GAS%20FACILITIES/CE/To%20be%20Released/Rev-00/quantity/Building/Buildings_MTO_MPF.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Moss3\d\WINDOWS\DESKTOP\All_NCB_Ph2\All_NCB_Tr.III\Documents\M5\BOQ_M26.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May01\c\Dam%20dien\WINDOWS\TEMP\IBASE2.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lal\Share\User\Document\MakeBQ2\makeBQ2.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GTL5/&#48176;&#44288;&#47932;&#47049;/&#47932;&#47049;&#49328;&#52636;/&#47932;&#47049;&#51665;&#44228;/&#49345;&#49464;&#47932;&#47049;SUM/REV0(20061127)/4.%20Rabigh%2020060831%2012.%20Rabigh%20-%20JGCK/1.%20Construction%20Data/proposal/Oman/Original%20Calc/Instrument%20BQ%20for%20CCEC_Rev.%201%20modified.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A:\Vskew40.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s://lnteccmail.lntecc.com/TENDER/Buhasa%20upgrad%20works/workings/construction.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http://hicpmoss.encnet.com:2014/MGAD/DEPT_USE/EL/07_Calculation/LDC/SS-7/C-0098-97-CA-4212-O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A:\DHDS\Workings\Piping\Piping%20Workings.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E:\Master%20DPR\DPR%20Bridge\Final-JAM\Abut-sar-pal.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Planning2\d\Share\SMC\SMC-09\DLRO-%20Dec%202003.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Pmg\d\ELECT\Calculation\Battery%20&amp;%20Battery%20charger\REV%20R1\potablwater.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H:\MBs%20Changed%20due%20to%20sheeting%20correction\VGP%2025.10.2010\SECURITY%20GUARD%20RESIDENCE\SGResidence.xlsx"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ticbfsb\instr\JC\Petrogal-Sines\Weldingbook\Piping%20material%20HG%20take%20off%20-%20Rev05.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Documents%20and%20Settings/y_P-ltc/Desktop/Utility_U87_%20P&amp;ID%20MTO%20Revo.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Kt001sf0006\846\Ethylene-Energie\Ras%20Laffan%20contrat\process%20datasheets\U800-Refrigerant%20cycles\08458U-32-PDS-1000-0802-0.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ONGC%20WORP%20MEHSANA/CE/Nitin/South%20Santhal%20-%20Quantities.xlsx"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VOID204.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ongc-vashishta/CE/WORKING/New%20Microsoft%20Excel%20Worksheet.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May01\c\Dam%20dien\CS3408\Standard\RPT.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http://hicpmoss.encnet.com:2014/SRUG/DEPT_USE/EL/01_CALCULATIONS/01_LOAD%20ANALYSIS/Ref/MG-3.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150.0.46.17\project\ABB\ACH\SCUAUG\7600.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Ram\SharedDocs\HOTEL%20PROJECT-PROJECT%20TEAM\HOTEL-Project%20analysis%20(%20civil%20).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Hydra\macch\AUSI\Balance\J-63-Y-O-0001-00-A1.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F:\Documents%20and%20Settings\hemal\Local%20Settings\Temporary%20Internet%20Files\Content.Outlook\ZTAI5QQZ\Copy%20of%20BUDGet_gonda%2022feb10_revised%20after%20meeting22mar10%20(3).xlsx"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sasv0158\spider_template$\SAIPEM\temp\Direction%20de%20projet%20Erha%20FPSO_V3.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Edrcserver1\design\user\Cement\KVPgroup\E-Kvp\KVP-Engrs\PPRM-Housing\Namakkal%20Housing\School\T1037%20Entire%20School.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N:\QT-DLUC\DIEN-CO\T-SOTHU\ST-CTHE2.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My%20Documents\HIEN%20HAI\QUAN-8\My%20Documents\PHONG\Quan%208\quyet%20toan\THAI\TAN-THOI%20HIEP\excel\Saigon%20Electro\TUAN\My%20Documents\DONGIA.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lten\mrpl\HGUM\DEPT_USE\IN\HGUM-SUB-IN\Index\Index_r0_Working%20Copy.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safdfssaf.saipem.pri\saf\Documents%20and%20Settings\saf922660\Local%20Settings\Temporary%20Internet%20Files\OLK99F\Loic_VDV\Dossier%20A&#233;ro\AeroOK2.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E:\AMIT%20WORK\02%20BLPL\37%20MORTH%20JHARKHAND%20NH98\NH98%20EXECUTION%20OF%20WORKS\nh98%20dwgs%20p&amp;p\Accrete\Nexengg\Lebad%20-%20Manpur%20-%204Lane%20(Prebid)\user\SOWIL\Kerala%20Border_Thrissur\Thrissur(3.04.05)\Aatupalam\RCCSub(F).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A:\My%20Documents\dung\PhuMy%20Fertilizer%20Project\Payment3\Thang%20KT%202001\Ho%20so%20thau\Du%20thau%20Huu%20Lung%20-%20Lang%20Son.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Phu\binh\parker.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Lten\iffco-1029\CE\Working%20Folder\MTO\IFFCO-SUBSTATION.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DOCUME~1/20036995/LOCALS~1/Temp/notes87944B/ONGC%20Vashistha%20Civilstructural%20BOQ%20rev%20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http://gsmail2.gsconst.co.kr/Documents%20and%20Settings/&#50724;%20&#44305;&#50896;/My%20Documents/My%20Documents/SKKIM/Work1999/SKC%20CDP/My%20Documents/CIVIL/&#53664;&#47785;&#44204;&#51201;/#2CDU&#49892;&#54665;.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Macserver\data1\Documents%20and%20Settings\user\My%20Documents\6-&#51077;&#52272;\Haaayan%20P1\Haaayan%20P1\bm\3&#52264;%20bm%20(2008.04.08)\WINDOWS\TEMP\&#44036;&#51217;&#48708;_REV1.xls" TargetMode="External"/></Relationships>
</file>

<file path=xl/externalLinks/_rels/externalLink196.xml.rels><?xml version="1.0" encoding="UTF-8" standalone="yes"?>
<Relationships xmlns="http://schemas.openxmlformats.org/package/2006/relationships"><Relationship Id="rId2" Type="http://schemas.openxmlformats.org/officeDocument/2006/relationships/externalLinkPath" Target="file:///D:\01%20BLPL\190%20UP%20CHITRAKOOT%20EXPRESSWAY\RCD%20ROSERA%20R4%20AMIT%2006082025.xlsx" TargetMode="External"/><Relationship Id="rId1" Type="http://schemas.openxmlformats.org/officeDocument/2006/relationships/externalLinkPath" Target="190%20UP%20CHITRAKOOT%20EXPRESSWAY/RCD%20ROSERA%20R4%20AMIT%2006082025.xlsx" TargetMode="External"/></Relationships>
</file>

<file path=xl/externalLinks/_rels/externalLink197.xml.rels><?xml version="1.0" encoding="UTF-8" standalone="yes"?>
<Relationships xmlns="http://schemas.openxmlformats.org/package/2006/relationships"><Relationship Id="rId2" Type="http://schemas.openxmlformats.org/officeDocument/2006/relationships/externalLinkPath" Target="file:///D:\01%20BLPL\RCD_ROSERA_R3_AMIT_31052025_Final.xlsx" TargetMode="External"/><Relationship Id="rId1" Type="http://schemas.openxmlformats.org/officeDocument/2006/relationships/externalLinkPath" Target="RCD_ROSERA_R3_AMIT_31052025_Final.xlsx" TargetMode="External"/></Relationships>
</file>

<file path=xl/externalLinks/_rels/externalLink198.xml.rels><?xml version="1.0" encoding="UTF-8" standalone="yes"?>
<Relationships xmlns="http://schemas.openxmlformats.org/package/2006/relationships"><Relationship Id="rId2" Type="http://schemas.openxmlformats.org/officeDocument/2006/relationships/externalLinkPath" Target="file:///D:\01%20BLPL\153%20FAILED%20BIDS\155%20EPCC-04%20ISOM\HSE%20SUBMISSIONS\HSE%20STATS%20SUMMARY%20BR09.xlsx" TargetMode="External"/><Relationship Id="rId1" Type="http://schemas.openxmlformats.org/officeDocument/2006/relationships/externalLinkPath" Target="153%20FAILED%20BIDS/155%20EPCC-04%20ISOM/HSE%20SUBMISSIONS/HSE%20STATS%20SUMMARY%20BR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cevsSp"/>
      <sheetName val="Bid Items"/>
      <sheetName val="acevsSp (ABC)"/>
      <sheetName val="INFLUENCES ON GM"/>
      <sheetName val="Basic Rate"/>
      <sheetName val="Matl Cons"/>
      <sheetName val="Basic Cost"/>
      <sheetName val="SP"/>
      <sheetName val="RECON"/>
      <sheetName val="BOQ"/>
      <sheetName val="Matl. Req."/>
      <sheetName val="Working Sheet"/>
      <sheetName val="Form Work"/>
      <sheetName val="Deptitemc"/>
      <sheetName val="deptlc"/>
      <sheetName val="Dept break"/>
      <sheetName val="P&amp;M ITEMCOST"/>
      <sheetName val="PMbreak"/>
      <sheetName val="PMbreak%"/>
      <sheetName val="PMabs"/>
      <sheetName val="PMCOSTa"/>
      <sheetName val="PMCOSTb"/>
      <sheetName val="PMCOSTc"/>
      <sheetName val="PMCOSTd"/>
      <sheetName val="FUEL NORMS (RPLM)"/>
      <sheetName val="GEODESIC"/>
      <sheetName val="Abstract"/>
      <sheetName val="IDC.1010,1030,1100,1180"/>
      <sheetName val="IDC.1020"/>
      <sheetName val="IDC.1040 "/>
      <sheetName val="IDC.1200"/>
      <sheetName val="ROADS"/>
      <sheetName val="Clients Facilities"/>
      <sheetName val="Clts Fac Tender Vs Actuals"/>
      <sheetName val="NL-Field Lab Equipment SVD"/>
      <sheetName val="CF-Fur-Det"/>
      <sheetName val="Safety"/>
      <sheetName val="BG Det"/>
      <sheetName val="TAXES"/>
      <sheetName val="TAXES (2)"/>
    </sheetNames>
    <sheetDataSet>
      <sheetData sheetId="0"/>
      <sheetData sheetId="1"/>
      <sheetData sheetId="2"/>
      <sheetData sheetId="3">
        <row r="23">
          <cell r="A23">
            <v>18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SUMMARY"/>
      <sheetName val="CORRECTION"/>
      <sheetName val="major qty"/>
      <sheetName val="wages"/>
      <sheetName val="Major P&amp;M deployment"/>
      <sheetName val="p&amp;m L&amp;T Hire"/>
      <sheetName val="Misc__points"/>
      <sheetName val="qty_abst"/>
      <sheetName val="basic_"/>
      <sheetName val="Rate_Analysis"/>
      <sheetName val="Sheet1"/>
      <sheetName val="Top Sheet"/>
      <sheetName val="Publicbuilding"/>
      <sheetName val="Iron Steel &amp; handrails"/>
      <sheetName val="ANALYSIS"/>
      <sheetName val="Data 1"/>
      <sheetName val="A6"/>
      <sheetName val="Vind-BtB"/>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Sheet2"/>
      <sheetName val="STRUC"/>
      <sheetName val="DOOR-WIND"/>
      <sheetName val="STEEL"/>
      <sheetName val="ROOFING"/>
      <sheetName val="FLOORING"/>
      <sheetName val="MR"/>
      <sheetName val="Misc__points3"/>
      <sheetName val="qty_abst3"/>
      <sheetName val="basic_3"/>
      <sheetName val="Rate_Analysis3"/>
      <sheetName val="major_qty2"/>
      <sheetName val="Major_P&amp;M_deployment2"/>
      <sheetName val="p&amp;m_L&amp;T_Hire2"/>
      <sheetName val="Top_Sheet2"/>
      <sheetName val="Iron_Steel_&amp;_handrails2"/>
      <sheetName val="Data_1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Misc__points1"/>
      <sheetName val="qty_abst1"/>
      <sheetName val="basic_1"/>
      <sheetName val="Rate_Analysis1"/>
      <sheetName val="major_qty"/>
      <sheetName val="Major_P&amp;M_deployment"/>
      <sheetName val="p&amp;m_L&amp;T_Hire"/>
      <sheetName val="Top_Sheet"/>
      <sheetName val="Iron_Steel_&amp;_handrails"/>
      <sheetName val="Data_1"/>
      <sheetName val="Piling_-_Winch"/>
      <sheetName val="Basic_Rates"/>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Misc__points2"/>
      <sheetName val="qty_abst2"/>
      <sheetName val="basic_2"/>
      <sheetName val="Rate_Analysis2"/>
      <sheetName val="major_qty1"/>
      <sheetName val="Major_P&amp;M_deployment1"/>
      <sheetName val="p&amp;m_L&amp;T_Hire1"/>
      <sheetName val="Top_Sheet1"/>
      <sheetName val="Iron_Steel_&amp;_handrails1"/>
      <sheetName val="Data_1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RSCMWHIssueDetails"/>
      <sheetName val=""/>
      <sheetName val="Back"/>
      <sheetName val="ETC Plant Cost"/>
      <sheetName val="4 Annex 1 Basic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
      <sheetName val="contract"/>
      <sheetName val="invoice"/>
      <sheetName val="1,4,13-.scope"/>
      <sheetName val="scurve"/>
      <sheetName val="QMCT"/>
      <sheetName val="water prop."/>
      <sheetName val="1,4,13-_scope"/>
      <sheetName val="Rate Analysis"/>
      <sheetName val="COLUMN"/>
      <sheetName val="ANNEXURE-A"/>
      <sheetName val="beam-reinft"/>
      <sheetName val="Transfer"/>
      <sheetName val="BOQ -Temporary Diversion works"/>
      <sheetName val="BOQ -Road Works"/>
      <sheetName val="concrete"/>
      <sheetName val="beam-reinft-IIInd floor"/>
      <sheetName val="REL"/>
      <sheetName val="conc-foot-gradeslab"/>
      <sheetName val="Staff Acco."/>
      <sheetName val="TBAL9697 -group wise  sdpl"/>
      <sheetName val="PRECAST lightconc-II"/>
      <sheetName val="Sheet5"/>
      <sheetName val="DETAILED  BOQ"/>
      <sheetName val="RA-markate"/>
      <sheetName val="basic from sep-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 USED"/>
      <sheetName val="LC001"/>
      <sheetName val="LC002"/>
      <sheetName val="SC0031"/>
      <sheetName val="SC0032"/>
      <sheetName val="SC0033"/>
      <sheetName val="Q&amp;pl-V"/>
      <sheetName val="Q&amp;pl-O"/>
      <sheetName val="Attachment-A"/>
      <sheetName val="Attachment-I"/>
      <sheetName val="New_Tree code"/>
      <sheetName val="合成単価作成表-BLDG"/>
      <sheetName val="NOT_USED"/>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tatus"/>
      <sheetName val="P1"/>
      <sheetName val="P2"/>
      <sheetName val="P3"/>
      <sheetName val="P4"/>
      <sheetName val="P5"/>
      <sheetName val="P6"/>
      <sheetName val="P7"/>
      <sheetName val="P8"/>
      <sheetName val="P9"/>
      <sheetName val="P10"/>
      <sheetName val="P11"/>
      <sheetName val="P12"/>
      <sheetName val="P13"/>
      <sheetName val="P14"/>
      <sheetName val="P15"/>
      <sheetName val="Transport"/>
      <sheetName val="Civil 1"/>
      <sheetName val="Civil 2"/>
      <sheetName val="Civil 3"/>
      <sheetName val="Site 1"/>
      <sheetName val="Site 2"/>
      <sheetName val="Site 3"/>
      <sheetName val="Site Faci"/>
      <sheetName val="Engg-Exec-1"/>
      <sheetName val="Engg-Exec-2"/>
      <sheetName val="Site-Precom-1"/>
      <sheetName val="Site-Precom-2"/>
      <sheetName val="Site-Precom-Vendor"/>
      <sheetName val="Collab"/>
      <sheetName val="Cont"/>
      <sheetName val="Risk-Anal"/>
      <sheetName val="Risk-Table"/>
      <sheetName val="Risk-Graph"/>
      <sheetName val="Analysis1"/>
      <sheetName val="Analysis2"/>
      <sheetName val="Analysis3"/>
      <sheetName val="Totals-SMG"/>
      <sheetName val="Totals"/>
      <sheetName val="User"/>
      <sheetName val="Ranges"/>
      <sheetName val="For SMG"/>
      <sheetName val="calc"/>
      <sheetName val="steel"/>
      <sheetName val="pressure-parts"/>
      <sheetName val="Castings-Misc"/>
      <sheetName val="fabrn_shop"/>
      <sheetName val="constrn"/>
      <sheetName val="CONVN_FABRN_ONLY"/>
      <sheetName val="Fans"/>
      <sheetName val="Module1"/>
      <sheetName val="Transfer"/>
      <sheetName val="C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8">
          <cell r="AQ8">
            <v>37712</v>
          </cell>
          <cell r="AR8">
            <v>38078</v>
          </cell>
          <cell r="AS8">
            <v>38443</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Table-3"/>
      <sheetName val="간접비총괄"/>
      <sheetName val="간접비내역-1"/>
      <sheetName val="직원"/>
      <sheetName val="기능공"/>
      <sheetName val="세금관련"/>
      <sheetName val="물가 상승"/>
      <sheetName val="간접 TOTAL REV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Vessels"/>
      <sheetName val="SPT vs PHI"/>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5) OFFSITES FACILITIES"/>
      <sheetName val="4) ANCILLARY FACILITIES"/>
      <sheetName val="3) UTILITIES FACILITIES"/>
      <sheetName val="2) PROCESS UNITS"/>
      <sheetName val="1) COMMON FACILITIES"/>
      <sheetName val="MTP"/>
      <sheetName val="MTP1"/>
      <sheetName val="5)_OFFSITES_FACILITIES1"/>
      <sheetName val="4)_ANCILLARY_FACILITIES1"/>
      <sheetName val="3)_UTILITIES_FACILITIES1"/>
      <sheetName val="2)_PROCESS_UNITS1"/>
      <sheetName val="1)_COMMON_FACILITIES1"/>
      <sheetName val="5)_OFFSITES_FACILITIES"/>
      <sheetName val="4)_ANCILLARY_FACILITIES"/>
      <sheetName val="3)_UTILITIES_FACILITIES"/>
      <sheetName val="2)_PROCESS_UNITS"/>
      <sheetName val="1)_COMMON_FACILITIES"/>
      <sheetName val="5)_OFFSITES_FACILITIES2"/>
      <sheetName val="4)_ANCILLARY_FACILITIES2"/>
      <sheetName val="3)_UTILITIES_FACILITIES2"/>
      <sheetName val="2)_PROCESS_UNITS2"/>
      <sheetName val="1)_COMMON_FACILITIES2"/>
      <sheetName val="5)_OFFSITES_FACILITIES3"/>
      <sheetName val="4)_ANCILLARY_FACILITIES3"/>
      <sheetName val="3)_UTILITIES_FACILITIES3"/>
      <sheetName val="2)_PROCESS_UNITS3"/>
      <sheetName val="1)_COMMON_FACILITIES3"/>
      <sheetName val="SCH_W"/>
      <sheetName val="SCH_t"/>
      <sheetName val="Thick-SCH_UE BAZ"/>
      <sheetName val="Thick-SCH_UE"/>
      <sheetName val="Dia"/>
      <sheetName val="ANSI-Pipes"/>
      <sheetName val="MH_t"/>
      <sheetName val="ChartT"/>
      <sheetName val="MH_U_Tot"/>
      <sheetName val="MH_U_Pr"/>
      <sheetName val="MH_U_Erec"/>
      <sheetName val="MH_Rack_Tot"/>
      <sheetName val="MH_Rack_Erec"/>
      <sheetName val="MAT_COEFF"/>
      <sheetName val="Sheet3"/>
      <sheetName val="Sheet1"/>
      <sheetName val="AÇIKLAMA"/>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SSELS &amp; COLUMNS"/>
      <sheetName val="HEAT EXCHANGER"/>
      <sheetName val="SPT vs PHI"/>
      <sheetName val="Vessels"/>
    </sheetNames>
    <sheetDataSet>
      <sheetData sheetId="0" refreshError="1"/>
      <sheetData sheetId="1" refreshError="1"/>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VESSELS &amp; COLUMNS"/>
      <sheetName val="Y-WORK"/>
      <sheetName val="#REF"/>
      <sheetName val="TOEC"/>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CT Thang Mo"/>
      <sheetName val="CT  PL"/>
      <sheetName val="DT DZ 22+TBA "/>
      <sheetName val="Sheet1"/>
      <sheetName val="BLR 1"/>
      <sheetName val="GEN"/>
      <sheetName val="GAS"/>
      <sheetName val="DEAE"/>
      <sheetName val="BLR2"/>
      <sheetName val="BLR3"/>
      <sheetName val="BLR4"/>
      <sheetName val="BLR5"/>
      <sheetName val="DEM"/>
      <sheetName val="SAM"/>
      <sheetName val="CHEM"/>
      <sheetName val="COP"/>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Chiet tinh dz22"/>
    </sheetNames>
    <sheetDataSet>
      <sheetData sheetId="0"/>
      <sheetData sheetId="1"/>
      <sheetData sheetId="2" refreshError="1"/>
      <sheetData sheetId="3"/>
      <sheetData sheetId="4"/>
      <sheetData sheetId="5"/>
      <sheetData sheetId="6"/>
      <sheetData sheetId="7"/>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COLUMNS"/>
      <sheetName val="VESSELS "/>
      <sheetName val="HEAT EXCHANGER"/>
      <sheetName val="Chiet tinh dz35"/>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VT"/>
      <sheetName val="NC"/>
      <sheetName val="pldt"/>
      <sheetName val="TH"/>
      <sheetName val="XD"/>
      <sheetName val="XD1"/>
      <sheetName val="Sheet1"/>
      <sheetName val="Sheet6"/>
      <sheetName val="Sheet2"/>
      <sheetName val="Sheet7"/>
      <sheetName val="Sheet4"/>
      <sheetName val="Sheet5"/>
      <sheetName val="Sheet3"/>
      <sheetName val="XL4Poppy"/>
      <sheetName val="(1)TK_ThueGTGT_Thang"/>
      <sheetName val="01"/>
      <sheetName val="02"/>
      <sheetName val="03"/>
      <sheetName val="07"/>
      <sheetName val="08"/>
      <sheetName val="09"/>
      <sheetName val="XL (2)"/>
      <sheetName val="XL"/>
      <sheetName val="XDCB"/>
      <sheetName val="TN"/>
      <sheetName val="PBC"/>
      <sheetName val="PBC (2)"/>
      <sheetName val="BIATK"/>
      <sheetName val="BIADT"/>
      <sheetName val="LAP"/>
      <sheetName val="TONG"/>
      <sheetName val="00000000"/>
      <sheetName val="10000000"/>
      <sheetName val="COLUMNS"/>
      <sheetName val="VESSELS "/>
      <sheetName val="#REF"/>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MTP"/>
      <sheetName val="BQ"/>
      <sheetName val="BQ External"/>
      <sheetName val="SHOPLIST"/>
      <sheetName val="icmal"/>
      <sheetName val="SAP"/>
      <sheetName val="Basis"/>
      <sheetName val="Notes"/>
      <sheetName val="TAS"/>
      <sheetName val="SubmitCal"/>
      <sheetName val="Cash2"/>
      <sheetName val="Z"/>
      <sheetName val="Raw Data"/>
      <sheetName val="Penthouse Apartment"/>
      <sheetName val="#REF"/>
      <sheetName val="1"/>
      <sheetName val="D-623D"/>
      <sheetName val="Graph Data (DO NOT PRINT)"/>
      <sheetName val="Su}}ary"/>
      <sheetName val="ANNEXURE-A"/>
      <sheetName val="StattCo yCharges"/>
      <sheetName val="GFA_HQ_Building"/>
      <sheetName val="GFA_Conference"/>
      <sheetName val="LABOUR HISTOGRAM"/>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CT Thang Mo"/>
      <sheetName val="Sheet2"/>
      <sheetName val="BOQ"/>
      <sheetName val="Bill No. 2"/>
      <sheetName val="ancillary"/>
      <sheetName val="budget summary (2)"/>
      <sheetName val="Budget Analysis Summary"/>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CASHFLOWS"/>
      <sheetName val="改加胶玻璃、室外栏杆"/>
      <sheetName val="FOL - Bar"/>
      <sheetName val="LEVEL SHEET"/>
      <sheetName val="SPT vs PHI"/>
      <sheetName val="CT  PL"/>
      <sheetName val=""/>
      <sheetName val="LABOUR_HISTOGRAM"/>
      <sheetName val="JAS"/>
      <sheetName val="List"/>
      <sheetName val="Body Sheet"/>
      <sheetName val="1.0 Executive Summary"/>
      <sheetName val="intr stool brkup"/>
      <sheetName val="HQ-TO"/>
      <sheetName val="Customize Your Invoice"/>
      <sheetName val="B"/>
      <sheetName val="HVAC BoQ"/>
      <sheetName val="PriceSummary"/>
      <sheetName val="企业表一"/>
      <sheetName val="M-5C"/>
      <sheetName val="M-5A"/>
      <sheetName val="Sheet1"/>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Data"/>
      <sheetName val="Tender Summary"/>
      <sheetName val="Insurance Ext"/>
      <sheetName val="Prelims"/>
      <sheetName val="COC"/>
      <sheetName val="Top sheet"/>
      <sheetName val="ConferenceCentre_x0000_옰ʒ䄂ʒ鵠ʐ䄂ʒ閐̐䄂ʒ蕈̐"/>
      <sheetName val="Bill 2"/>
      <sheetName val="Rate analysis"/>
      <sheetName val="LABOUR_HISTOGRAM1"/>
      <sheetName val="GFA_HQ_Building2"/>
      <sheetName val="GFA_Conference2"/>
      <sheetName val="BQ_External2"/>
      <sheetName val="LABOUR_HISTOGRAM2"/>
      <sheetName val="Penthouse_Apartment1"/>
      <sheetName val="StattCo_yCharges1"/>
      <sheetName val="Raw_Data1"/>
      <sheetName val="Graph_Data_(DO_NOT_PRINT)1"/>
      <sheetName val="Chiet_tinh_dz221"/>
      <sheetName val="Chiet_tinh_dz351"/>
      <sheetName val="@risk_rents_and_incentives1"/>
      <sheetName val="Car_park_lease1"/>
      <sheetName val="Net_rent_analysis1"/>
      <sheetName val="Poz-1_1"/>
      <sheetName val="Lab_Cum_Hist1"/>
      <sheetName val="CT_Thang_Mo1"/>
      <sheetName val="2 Div 14 "/>
      <sheetName val="Tender_Summary"/>
      <sheetName val="Insurance_Ext"/>
      <sheetName val="기계내역서"/>
      <sheetName val="POWER"/>
      <sheetName val="Geneí¬_x0008_i_x0000__x0000__x0014__x0000_0."/>
      <sheetName val="70_x0000_,/0_x0000_s«_x0008_i_x0000_Æø_x0003_í¬_x0008_i_x0000_"/>
      <sheetName val="Sheet3"/>
      <sheetName val="Ap A"/>
      <sheetName val="SHOPLIST.xls"/>
      <sheetName val="Inputs"/>
      <sheetName val="Bill 1"/>
      <sheetName val="Bill 3"/>
      <sheetName val="Bill 4"/>
      <sheetName val="Bill 5"/>
      <sheetName val="Bill 6"/>
      <sheetName val="Bill 7"/>
      <sheetName val="concrete"/>
      <sheetName val="beam-reinft-IIInd floor"/>
      <sheetName val="beam-reinft-machine rm"/>
      <sheetName val="girder"/>
      <sheetName val="Rocker"/>
      <sheetName val="98Price"/>
      <sheetName val="_x0000__x0000__x0000__x0000__x0000__x0000__x0000__x0000_"/>
      <sheetName val="POWER ASSUMPTIONS"/>
      <sheetName val="DATAS"/>
      <sheetName val="Rate_Analysis"/>
      <sheetName val="CODE"/>
      <sheetName val="Civil Boq"/>
      <sheetName val="HIRED LABOUR CODE"/>
      <sheetName val="PA- Consutant "/>
      <sheetName val="Design"/>
      <sheetName val="upa"/>
      <sheetName val="foot-slab reinft"/>
      <sheetName val="sal"/>
      <sheetName val="ABSTRACT"/>
      <sheetName val="DETAILED  BOQ"/>
      <sheetName val="M-Book for Conc"/>
      <sheetName val="M-Book for FW"/>
      <sheetName val="Vehicles"/>
      <sheetName val="Wall"/>
      <sheetName val="Annex"/>
      <sheetName val="factors"/>
      <sheetName val="P4-B"/>
      <sheetName val="Break_Up"/>
      <sheetName val="RESULT"/>
      <sheetName val="IO LIST"/>
      <sheetName val="Formulas"/>
      <sheetName val="Material "/>
      <sheetName val="Quote Sheet"/>
      <sheetName val="RA-markate"/>
      <sheetName val="BOQ_Direct_selling cost"/>
      <sheetName val="77S(O)"/>
      <sheetName val="Materials Cost(PCC)"/>
      <sheetName val="India F&amp;S Template"/>
      <sheetName val="P&amp;L-BDMC"/>
      <sheetName val="col-reinft1"/>
      <sheetName val="Geneí¬_x0008_i"/>
      <sheetName val="70"/>
      <sheetName val="ACT_SPS"/>
      <sheetName val="SPSF"/>
      <sheetName val="Invoice Summary"/>
      <sheetName val="Activity List"/>
      <sheetName val="Day work"/>
      <sheetName val="PROJECT BRIEF"/>
      <sheetName val="C (3)"/>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ubai golf"/>
      <sheetName val="CERTIFICATE"/>
      <sheetName val="Customize_Your_Invoice"/>
      <sheetName val="HVAC_BoQ"/>
      <sheetName val="COLUMN"/>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Bill_21"/>
      <sheetName val="2_Div_14_"/>
      <sheetName val="마산월령동골조물량변경"/>
      <sheetName val="Softscape Buildup"/>
      <sheetName val="Mat'l Rate"/>
      <sheetName val="WITHOUT C&amp;I PROFIT (3)"/>
      <sheetName val="escalation"/>
      <sheetName val="ANAL"/>
      <sheetName val="GFA_HQ_Building6"/>
      <sheetName val="INSTR"/>
      <sheetName val="Eq. Mobilization"/>
      <sheetName val="250mm"/>
      <sheetName val="200mm"/>
      <sheetName val="160mm"/>
      <sheetName val="FITTINGS"/>
      <sheetName val="VALVE CHAMBERS"/>
      <sheetName val="Fire Hydrants"/>
      <sheetName val="B.GATE VALVE"/>
      <sheetName val="Sub G1 Fire"/>
      <sheetName val="Sub G12 Fire"/>
      <sheetName val="MOS"/>
      <sheetName val="BILL COV"/>
      <sheetName val="Ap_A"/>
      <sheetName val="SHOPLIST_xls"/>
      <sheetName val="Geneí¬i0_"/>
      <sheetName val="70,/0s«iÆøí¬i"/>
      <sheetName val="Invoice_Summary"/>
      <sheetName val="PROJECT_BRIEF"/>
      <sheetName val="Ra  stair"/>
      <sheetName val="ConferenceCentre?옰ʒ䄂ʒ鵠ʐ䄂ʒ閐̐䄂ʒ蕈̐"/>
      <sheetName val="PROJECT_BRIEF1"/>
      <sheetName val="Bill_22"/>
      <sheetName val="C_(3)1"/>
      <sheetName val="Ap_A1"/>
      <sheetName val="2_Div_14_1"/>
      <sheetName val="Bill_11"/>
      <sheetName val="Bill_31"/>
      <sheetName val="Bill_41"/>
      <sheetName val="Bill_51"/>
      <sheetName val="Bill_61"/>
      <sheetName val="Bill_71"/>
      <sheetName val="Dubai_golf"/>
      <sheetName val="beam-reinft-IIInd_floor"/>
      <sheetName val="POWER_ASSUMPTIONS"/>
      <sheetName val="beam-reinft-machine_rm"/>
      <sheetName val="C_(3)"/>
      <sheetName val="Data_Summary"/>
      <sheetName val="PMWeb data"/>
      <sheetName val="갑지"/>
      <sheetName val="15-MECH"/>
      <sheetName val="GFA_Conference6"/>
      <sheetName val="BQ_External6"/>
      <sheetName val="Raw_Data5"/>
      <sheetName val="Penthouse_Apartment5"/>
      <sheetName val="StattCo_yCharges5"/>
      <sheetName val="@risk_rents_and_incentives5"/>
      <sheetName val="Car_park_lease5"/>
      <sheetName val="Net_rent_analysis5"/>
      <sheetName val="Poz-1_5"/>
      <sheetName val="Chiet_tinh_dz225"/>
      <sheetName val="Chiet_tinh_dz355"/>
      <sheetName val="LEVEL_SHEET5"/>
      <sheetName val="LABOUR_HISTOGRAM6"/>
      <sheetName val="Lab_Cum_Hist5"/>
      <sheetName val="Graph_Data_(DO_NOT_PRINT)5"/>
      <sheetName val="Body_Sheet4"/>
      <sheetName val="1_0_Executive_Summary4"/>
      <sheetName val="CT_Thang_Mo5"/>
      <sheetName val="Customize_Your_Invoice5"/>
      <sheetName val="HVAC_BoQ5"/>
      <sheetName val="Bill_No__25"/>
      <sheetName val="budget_summary_(2)4"/>
      <sheetName val="Budget_Analysis_Summary4"/>
      <sheetName val="Projet,_methodes_&amp;_couts4"/>
      <sheetName val="Risques_majeurs_&amp;_Frais_Ind_4"/>
      <sheetName val="SPT_vs_PHI5"/>
      <sheetName val="CT__PL4"/>
      <sheetName val="FOL_-_Bar5"/>
      <sheetName val="Tender_Summary5"/>
      <sheetName val="Insurance_Ext5"/>
      <sheetName val="Top_sheet4"/>
      <sheetName val="intr_stool_brkup4"/>
      <sheetName val="2_Div_14_2"/>
      <sheetName val="SHOPLIST_xls1"/>
      <sheetName val="Bill_23"/>
      <sheetName val="Ap_A2"/>
      <sheetName val="Bill_12"/>
      <sheetName val="Bill_32"/>
      <sheetName val="Bill_42"/>
      <sheetName val="Bill_52"/>
      <sheetName val="Bill_62"/>
      <sheetName val="Bill_72"/>
      <sheetName val="Invoice_Summary1"/>
      <sheetName val="beam-reinft-IIInd_floor1"/>
      <sheetName val="beam-reinft-machine_rm1"/>
      <sheetName val="PROJECT_BRIEF2"/>
      <sheetName val="C_(3)2"/>
      <sheetName val="POWER_ASSUMPTIONS1"/>
      <sheetName val="Dubai_golf1"/>
      <sheetName val="WITHOUT_C&amp;I_PROFIT_(3)"/>
      <sheetName val="Geneí¬i"/>
      <sheetName val="Civil_Boq"/>
      <sheetName val="DETAILED__BOQ"/>
      <sheetName val="M-Book_for_Conc"/>
      <sheetName val="M-Book_for_FW"/>
      <sheetName val="Activity_List"/>
      <sheetName val="HIRED_LABOUR_CODE"/>
      <sheetName val="PA-_Consutant_"/>
      <sheetName val="foot-slab_reinft"/>
      <sheetName val="Toolbox"/>
      <sheetName val="GFA_HQ_Building7"/>
      <sheetName val="Rate_analysis4"/>
      <sheetName val="Softscape_Buildup"/>
      <sheetName val="Mat'l_Rate"/>
      <sheetName val="GFA_HQ_Building8"/>
      <sheetName val="GFA_Conference7"/>
      <sheetName val="StattCo_yCharges6"/>
      <sheetName val="BQ_External7"/>
      <sheetName val="Penthouse_Apartment6"/>
      <sheetName val="LABOUR_HISTOGRAM7"/>
      <sheetName val="Chiet_tinh_dz226"/>
      <sheetName val="Chiet_tinh_dz356"/>
      <sheetName val="CT_Thang_Mo6"/>
      <sheetName val="Raw_Data6"/>
      <sheetName val="@risk_rents_and_incentives6"/>
      <sheetName val="Car_park_lease6"/>
      <sheetName val="Net_rent_analysis6"/>
      <sheetName val="Poz-1_6"/>
      <sheetName val="Lab_Cum_Hist6"/>
      <sheetName val="Graph_Data_(DO_NOT_PRINT)6"/>
      <sheetName val="LEVEL_SHEET6"/>
      <sheetName val="SPT_vs_PHI6"/>
      <sheetName val="Bill_No__26"/>
      <sheetName val="Tender_Summary6"/>
      <sheetName val="Insurance_Ext6"/>
      <sheetName val="FOL_-_Bar6"/>
      <sheetName val="Customize_Your_Invoice6"/>
      <sheetName val="HVAC_BoQ6"/>
      <sheetName val="budget_summary_(2)5"/>
      <sheetName val="Budget_Analysis_Summary5"/>
      <sheetName val="Projet,_methodes_&amp;_couts5"/>
      <sheetName val="Risques_majeurs_&amp;_Frais_Ind_5"/>
      <sheetName val="Body_Sheet5"/>
      <sheetName val="1_0_Executive_Summary5"/>
      <sheetName val="Top_sheet5"/>
      <sheetName val="[SHOPLIST.xls]70_x0000_,/0_x0000_s«_x0008_i_x0000_Æø_x0003_í¬"/>
      <sheetName val="Rate_analysis5"/>
      <sheetName val="intr_stool_brkup5"/>
      <sheetName val="CT__PL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11-hsd"/>
      <sheetName val="13-septic"/>
      <sheetName val="7-ug"/>
      <sheetName val="2-utility"/>
      <sheetName val="18-misc"/>
      <sheetName val="5-pipe"/>
      <sheetName val="INDIGINEOUS ITEMS "/>
      <sheetName val="PNTEX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w't table"/>
      <sheetName val="cp-e1"/>
      <sheetName val="SITE WORK"/>
      <sheetName val="B185-B-2"/>
      <sheetName val="B185-B-3"/>
      <sheetName val="B185-B-4"/>
      <sheetName val="B185-B-5"/>
      <sheetName val="B185-B-6"/>
      <sheetName val="B185-B-7"/>
      <sheetName val="B185-B-8"/>
      <sheetName val="B185-B-9.1"/>
      <sheetName val="B185-B-9.2"/>
      <sheetName val="Dropdown"/>
      <sheetName val="Elemental Buildup"/>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입찰내역 발주처 양식"/>
      <sheetName val="Material List "/>
      <sheetName val="집계표(OPTION)"/>
      <sheetName val="Working for RCC"/>
      <sheetName val="CHART OF ACCOUNTS"/>
      <sheetName val="B03"/>
      <sheetName val="B09.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Lists"/>
      <sheetName val="[SHOPLIST.xls][SHOPLIST.xls]70_x0000_"/>
      <sheetName val="E-Bill No.6 A-O"/>
      <sheetName val="[SHOPLIST.xls][SHOPLIST.xls]70,"/>
      <sheetName val="SStaff-Sept2013"/>
      <sheetName val="Qtys ZamZam (Del. before)"/>
      <sheetName val="Qtys Relocation (Del before)"/>
      <sheetName val=" Qtys Sub &amp; Tents (Del. before)"/>
      <sheetName val="Qtys  Signages (Del. before)"/>
      <sheetName val="Qtys Temporary Passages (Del)"/>
      <sheetName val=" Qtys Ser. Rooms (Del before)"/>
      <sheetName val="Gra¦_x0004_)_x0000__x0000__x0000_VW_x0000__x0000__x0000__x0000__x0000__x0000__x0000__x0000__x0000_ U"/>
      <sheetName val="/VW_x0000_VU_x0000_)_x0000__x0000__x0000_)_x0000__x0000__x0000__x0001__x0000__x0000__x0000_tÏØ0 _x0008__x0000__x0000_ _x0008_"/>
      <sheetName val="房屋及建筑物"/>
      <sheetName val="XL4Poppy"/>
      <sheetName val="PointNo.5"/>
      <sheetName val="Day_work1"/>
      <sheetName val="BS"/>
      <sheetName val="PMWeb_data"/>
      <sheetName val="VALVE_CHAMBERS"/>
      <sheetName val="Fire_Hydrants"/>
      <sheetName val="B_GATE_VALVE"/>
      <sheetName val="Sub_G1_Fire"/>
      <sheetName val="Sub_G12_Fire"/>
      <sheetName val="SS_MH"/>
      <sheetName val="SS MH"/>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ConferenceCentre_x005f_x0000_옰ʒ䄂ʒ鵠ʐ䄂ʒ"/>
      <sheetName val="Geneí¬_x005f_x0008_i_x005f_x0000__x005f_x0000__x0"/>
      <sheetName val="70_x005f_x0000_,_0_x005f_x0000_s«_x005f_x0008_i_x"/>
      <sheetName val="Geneí¬_x005f_x0008_i"/>
      <sheetName val="Gra¦_x0004_)"/>
      <sheetName val="/VW"/>
      <sheetName val="2.2)Revised Cash Flow"/>
      <sheetName val="Staffing and Rates IA"/>
      <sheetName val="Chiet t"/>
      <sheetName val="Employee Lis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Summary of Work"/>
      <sheetName val="SIEMENS"/>
      <sheetName val="LIST DO NOT REMOVE"/>
      <sheetName val="Demand"/>
      <sheetName val="Occ"/>
      <sheetName val="Day_work2"/>
      <sheetName val="Gra¦)VW_U"/>
      <sheetName val="/VWVU))tÏØ0  "/>
      <sheetName val="/VWVU))tÏØ0__"/>
      <sheetName val="Quantity"/>
      <sheetName val="??-BLDG"/>
      <sheetName val="PNT-QUOT-#3"/>
      <sheetName val="COAT&amp;WRAP-QIOT-#3"/>
      <sheetName val="ml"/>
      <sheetName val="PRECAST lightconc-II"/>
      <sheetName val="final abstract"/>
      <sheetName val="Detail"/>
      <sheetName val="p&amp;m"/>
      <sheetName val="Voucher"/>
      <sheetName val="_x005f_x0000__x005f_x0000__x005f_x0000__x005f_x0000__x0"/>
      <sheetName val="Staff Acco."/>
      <sheetName val="TBAL9697 -group wise  sdpl"/>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VCH-SLC"/>
      <sheetName val="Item- Compact"/>
      <sheetName val="Supplier"/>
      <sheetName val="BLK2"/>
      <sheetName val="BLK3"/>
      <sheetName val="E &amp; R"/>
      <sheetName val="radar"/>
      <sheetName val="UG"/>
      <sheetName val="Рабочий лист"/>
      <sheetName val="ФМ"/>
      <sheetName val="Сравнение"/>
      <sheetName val="Table"/>
      <sheetName val="Earthwork"/>
      <sheetName val="GIAVLIEU"/>
      <sheetName val="Project Cost Breakdown"/>
      <sheetName val="%"/>
      <sheetName val="/VW_x0000_VU_x0000_)_x0000__x0000__x0000_)_x0000__x0000__x0000__x0001__x0000__x0000__x0000_tÏØ0_x0009__x0008__x0000__x0000__x0009__x0008_"/>
      <sheetName val="Risk Breakdown Structure"/>
      <sheetName val="Back up"/>
      <sheetName val="BASE_APR17_HISTOGRAMS"/>
      <sheetName val="PRJDATA"/>
      <sheetName val="Master"/>
      <sheetName val="GRSummary"/>
      <sheetName val="[SHOPLIST.xls]70,/0s«iÆøí¬i"/>
      <sheetName val="Sub_G1_Five"/>
      <sheetName val="Prices"/>
      <sheetName val="Rate summary"/>
      <sheetName val="#REF!"/>
      <sheetName val="SW-TEO"/>
      <sheetName val="科目余额表正式"/>
      <sheetName val="70_x005f_x0000_,/0_x005f_x0000_s«_x005f_x0008_i_x"/>
      <sheetName val="Annex 1 Sect 3a"/>
      <sheetName val="Annex 1 Sect 3a.1"/>
      <sheetName val="Annex 1 Sect 3b"/>
      <sheetName val="Annex 1 Sect 3c"/>
      <sheetName val="HOURLY RATES"/>
      <sheetName val="PT 141- Site A Landscape"/>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Common Variables"/>
      <sheetName val="Geneí¬ i_x0000__x0000_ _x0000_0."/>
      <sheetName val="70_x0000_,/0_x0000_s« i_x0000_Æø í¬ i_x0000_"/>
      <sheetName val="d-safe DELUXE"/>
      <sheetName val="XV10017"/>
      <sheetName val="70,_0s«iÆøí¬i"/>
      <sheetName val="Map"/>
      <sheetName val="ConferenceCentre_옰ʒ䄂ʒ鵠ʐ䄂ʒ閐̐䄂ʒ蕈̐"/>
      <sheetName val="Geneí¬_x0008_i___x0014__0."/>
      <sheetName val="70_,_0_s«_x0008_i_Æø_x0003_í¬_x0008_i_"/>
      <sheetName val="________"/>
      <sheetName val="Geneí¬_x0008_i??_x0014_?0."/>
      <sheetName val="70?,/0?s«_x0008_i?Æø_x0003_í¬_x0008_i?"/>
      <sheetName val="????????"/>
      <sheetName val="BG"/>
      <sheetName val="RAB AR&amp;STR"/>
      <sheetName val="Summary_of_Work"/>
      <sheetName val="Employee_List"/>
      <sheetName val="Header"/>
      <sheetName val="Lookup"/>
      <sheetName val="Steel"/>
      <sheetName val="2_2)Revised_Cash_Flow1"/>
      <sheetName val="Mall waterproofing"/>
      <sheetName val="MSCP waterproofing"/>
      <sheetName val="-----------------"/>
      <sheetName val="Duct Accesories"/>
      <sheetName val="MA"/>
      <sheetName val="Rebars"/>
      <sheetName val="office"/>
      <sheetName val="Lab"/>
      <sheetName val="PRECAST_lightconc-II"/>
      <sheetName val="final_abstract"/>
      <sheetName val="合成単価作成表-BLDG"/>
      <sheetName val="ConferenceCentre?옰ʒ䄂ʒ鵠ʐ䄂ʒ閐̐脭め_x0005__x0000_"/>
      <sheetName val="TESİSAT"/>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Day_work3"/>
      <sheetName val="Materials_Cost(PCC)3"/>
      <sheetName val="India_F&amp;S_Template3"/>
      <sheetName val="IO_LIST3"/>
      <sheetName val="Material_3"/>
      <sheetName val="Quote_Sheet3"/>
      <sheetName val="CHART_OF_ACCOUNTS2"/>
      <sheetName val="E-Bill_No_6_A-O2"/>
      <sheetName val="B185-B-9_12"/>
      <sheetName val="B185-B-9_22"/>
      <sheetName val="B09_12"/>
      <sheetName val="BOQ_Direct_selling_cost2"/>
      <sheetName val="PMWeb_data2"/>
      <sheetName val="SS_MH2"/>
      <sheetName val="Eq__Mobilization2"/>
      <sheetName val="w't_table2"/>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Material_List_1"/>
      <sheetName val="Chiet_t1"/>
      <sheetName val="Staffing_and_Rates_IA1"/>
      <sheetName val="Index_List1"/>
      <sheetName val="Type_List1"/>
      <sheetName val="File_Types1"/>
      <sheetName val="입찰내역_발주처_양식1"/>
      <sheetName val="/VWVU))tÏØ0__1"/>
      <sheetName val="Staff_Acco_"/>
      <sheetName val="TBAL9697_-group_wise__sdpl"/>
      <sheetName val="???? ??? ??"/>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200205C"/>
      <sheetName val="Headings"/>
      <sheetName val="Labour &amp; Plant"/>
      <sheetName val="E_&amp;_R"/>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References"/>
      <sheetName val="train cash"/>
      <sheetName val="accom cash"/>
      <sheetName val="ConferenceCentre_x0000_옰ʒ䄂ʒ鵠ʐ䄂ʒ"/>
      <sheetName val="Geneí¬_x0008_i_x0000__x0000__x0"/>
      <sheetName val="70_x0000_,_0_x0000_s«_x0008_i_x"/>
      <sheetName val="_x0000__x0000__x0000__x0000__x0"/>
      <sheetName val="COSTING"/>
      <sheetName val="GPL Revenu Update"/>
      <sheetName val="DO NOT TOUCH"/>
      <sheetName val="Work Type"/>
      <sheetName val="AREA OF APPLICATION"/>
      <sheetName val="Sheet7"/>
      <sheetName val="UOM"/>
      <sheetName val="Selections"/>
      <sheetName val="PDT(L)1"/>
      <sheetName val="IO"/>
      <sheetName val="FAL intern"/>
      <sheetName val="BQMPALOC"/>
      <sheetName val="COLUMNS"/>
      <sheetName val="VESSELS "/>
      <sheetName val="Vendors"/>
      <sheetName val="[SHOPLIST.xls]/VW"/>
      <sheetName val="[SHOPLIST.xls]/VWVU))tÏØ0  "/>
      <sheetName val="[SHOPLIST.xls]/VWVU))tÏØ0__"/>
      <sheetName val="[SHOPLIST.xls]/VWVU))tÏØ0__1"/>
      <sheetName val="[SHOPLIST.xls]/VWVU))tÏØ0__2"/>
      <sheetName val="COMPLEXALL"/>
      <sheetName val="MEP"/>
      <sheetName val="IRR"/>
      <sheetName val="precast RC element"/>
      <sheetName val="pile Fabrication"/>
      <sheetName val="Gra¦_x0004_)_x0000__x0000__x0"/>
      <sheetName val="_VW_x0000_VU_x0000_)_x0000__x"/>
      <sheetName val="A1-Continuous"/>
      <sheetName val="A"/>
      <sheetName val="BHANDUP"/>
      <sheetName val="LIST_DO_NOT_REMOVE1"/>
      <sheetName val="Project_Cost_Breakdown"/>
      <sheetName val="B6_2_1"/>
      <sheetName val="Annex_1_Sect_3a"/>
      <sheetName val="Annex_1_Sect_3a_1"/>
      <sheetName val="Annex_1_Sect_3b"/>
      <sheetName val="Annex_1_Sect_3c"/>
      <sheetName val="HOURLY_RATES"/>
      <sheetName val="Item-_Compact"/>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Floor Box "/>
      <sheetName val="GFA_HQ_Building15"/>
      <sheetName val="GFA_Conference14"/>
      <sheetName val="BQ_External14"/>
      <sheetName val="LABOUR_HISTOGRAM14"/>
      <sheetName val="Lab_Cum_Hist13"/>
      <sheetName val="StattCo_yCharges13"/>
      <sheetName val="Penthouse_Apartment13"/>
      <sheetName val="Chiet_tinh_dz2213"/>
      <sheetName val="Chiet_tinh_dz3513"/>
      <sheetName val="@risk_rents_and_incentives13"/>
      <sheetName val="Car_park_lease13"/>
      <sheetName val="Net_rent_analysis13"/>
      <sheetName val="Poz-1_13"/>
      <sheetName val="Graph_Data_(DO_NOT_PRINT)13"/>
      <sheetName val="Raw_Data13"/>
      <sheetName val="Bill_No__213"/>
      <sheetName val="CT_Thang_Mo13"/>
      <sheetName val="budget_summary_(2)12"/>
      <sheetName val="Budget_Analysis_Summary12"/>
      <sheetName val="LEVEL_SHEET13"/>
      <sheetName val="Tender_Summary13"/>
      <sheetName val="Insurance_Ext13"/>
      <sheetName val="FOL_-_Bar13"/>
      <sheetName val="Ap_A10"/>
      <sheetName val="Projet,_methodes_&amp;_couts12"/>
      <sheetName val="Risques_majeurs_&amp;_Frais_Ind_12"/>
      <sheetName val="SPT_vs_PHI13"/>
      <sheetName val="intr_stool_brkup12"/>
      <sheetName val="Customize_Your_Invoice13"/>
      <sheetName val="HVAC_BoQ13"/>
      <sheetName val="CT__PL12"/>
      <sheetName val="Top_sheet12"/>
      <sheetName val="Body_Sheet12"/>
      <sheetName val="1_0_Executive_Summary12"/>
      <sheetName val="Bill_211"/>
      <sheetName val="Bill_110"/>
      <sheetName val="Bill_310"/>
      <sheetName val="Bill_410"/>
      <sheetName val="Bill_510"/>
      <sheetName val="Bill_610"/>
      <sheetName val="Bill_710"/>
      <sheetName val="Invoice_Summary9"/>
      <sheetName val="2_Div_14_10"/>
      <sheetName val="SHOPLIST_xls9"/>
      <sheetName val="beam-reinft-IIInd_floor9"/>
      <sheetName val="PROJECT_BRIEF10"/>
      <sheetName val="Dubai_golf9"/>
      <sheetName val="POWER_ASSUMPTIONS9"/>
      <sheetName val="beam-reinft-machine_rm9"/>
      <sheetName val="C_(3)10"/>
      <sheetName val="Civil_Boq8"/>
      <sheetName val="Activity_List8"/>
      <sheetName val="Softscape_Buildup8"/>
      <sheetName val="Mat'l_Rate8"/>
      <sheetName val="WITHOUT_C&amp;I_PROFIT_(3)8"/>
      <sheetName val="BILL_COV6"/>
      <sheetName val="Ra__stair6"/>
      <sheetName val="Day_work5"/>
      <sheetName val="Materials_Cost(PCC)5"/>
      <sheetName val="India_F&amp;S_Template5"/>
      <sheetName val="IO_LIST5"/>
      <sheetName val="Material_5"/>
      <sheetName val="Quote_Sheet5"/>
      <sheetName val="Eq__Mobilization4"/>
      <sheetName val="CHART_OF_ACCOUNTS4"/>
      <sheetName val="E-Bill_No_6_A-O4"/>
      <sheetName val="PMWeb_data4"/>
      <sheetName val="BOQ_Direct_selling_cost5"/>
      <sheetName val="B09_14"/>
      <sheetName val="Working_for_RCC4"/>
      <sheetName val="B185-B-9_14"/>
      <sheetName val="B185-B-9_24"/>
      <sheetName val="2_2)Revised_Cash_Flow3"/>
      <sheetName val="SS_MH4"/>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Material_List_3"/>
      <sheetName val="Index_List3"/>
      <sheetName val="Type_List3"/>
      <sheetName val="File_Types3"/>
      <sheetName val="/VWVU))tÏØ0__3"/>
      <sheetName val="입찰내역_발주처_양식3"/>
      <sheetName val="PRECAST_lightconc-II5"/>
      <sheetName val="final_abstract5"/>
      <sheetName val="Chiet_t3"/>
      <sheetName val="Staffing_and_Rates_IA3"/>
      <sheetName val="Labour_&amp;_Plant"/>
      <sheetName val="Back_up"/>
      <sheetName val="INDIGINEOUS_ITEMS_"/>
      <sheetName val="TRIAL_BALANCE"/>
      <sheetName val="Ave_wtd_rates"/>
      <sheetName val="Debits_as_on_12_04_08"/>
      <sheetName val="STAFFSCHED_"/>
      <sheetName val="[SHOPLIST_xls][SHOPLIST_xls]70"/>
      <sheetName val="[SHOPLIST_xls][SHOPLIST_xls]70,"/>
      <sheetName val="Analysis"/>
      <sheetName val="BOQ (2)"/>
      <sheetName val="PPA Summary"/>
      <sheetName val="Interior"/>
      <sheetName val="New Bld"/>
      <sheetName val="Definitions"/>
      <sheetName val="1.2 Staff Schedule"/>
      <sheetName val="Section_by_layers_old"/>
      <sheetName val="PTS-1"/>
      <sheetName val="INDEX"/>
      <sheetName val="PE"/>
      <sheetName val="Source"/>
      <sheetName val="PROJECT BRIEF(EX.NEW)"/>
      <sheetName val="Geneí¬ i"/>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Equipment Rates"/>
      <sheetName val="Risk_Breakdown_Structure"/>
      <sheetName val="Report"/>
      <sheetName val="Steel-Circular"/>
      <sheetName val="RMOPS"/>
      <sheetName val="Finansal tamamlanma Eğrisi"/>
      <sheetName val="Estimation"/>
      <sheetName val="FORM5"/>
      <sheetName val="1-G1"/>
      <sheetName val="Coding"/>
      <sheetName val="Equip"/>
      <sheetName val="Cashflow projection"/>
      <sheetName val="Names"/>
      <sheetName val="hist&amp;proj"/>
      <sheetName val="[SHOPLIST.xls]/VWVU))tÏØ0__3"/>
      <sheetName val="Status Summary"/>
      <sheetName val="GFA_HQ_Building16"/>
      <sheetName val="GFA_Conference15"/>
      <sheetName val="BQ_External15"/>
      <sheetName val="LABOUR_HISTOGRAM15"/>
      <sheetName val="Lab_Cum_Hist14"/>
      <sheetName val="StattCo_yCharges14"/>
      <sheetName val="Penthouse_Apartment14"/>
      <sheetName val="Chiet_tinh_dz2214"/>
      <sheetName val="Chiet_tinh_dz3514"/>
      <sheetName val="@risk_rents_and_incentives14"/>
      <sheetName val="Car_park_lease14"/>
      <sheetName val="Net_rent_analysis14"/>
      <sheetName val="Poz-1_14"/>
      <sheetName val="Graph_Data_(DO_NOT_PRINT)14"/>
      <sheetName val="Raw_Data14"/>
      <sheetName val="Bill_No__214"/>
      <sheetName val="CT_Thang_Mo14"/>
      <sheetName val="budget_summary_(2)13"/>
      <sheetName val="Budget_Analysis_Summary13"/>
      <sheetName val="LEVEL_SHEET14"/>
      <sheetName val="Tender_Summary14"/>
      <sheetName val="Insurance_Ext14"/>
      <sheetName val="FOL_-_Bar14"/>
      <sheetName val="Ap_A11"/>
      <sheetName val="Projet,_methodes_&amp;_couts13"/>
      <sheetName val="Risques_majeurs_&amp;_Frais_Ind_13"/>
      <sheetName val="SPT_vs_PHI14"/>
      <sheetName val="intr_stool_brkup13"/>
      <sheetName val="Customize_Your_Invoice14"/>
      <sheetName val="HVAC_BoQ14"/>
      <sheetName val="CT__PL13"/>
      <sheetName val="Top_sheet13"/>
      <sheetName val="Body_Sheet13"/>
      <sheetName val="1_0_Executive_Summary13"/>
      <sheetName val="Bill_212"/>
      <sheetName val="Dubai_golf10"/>
      <sheetName val="Bill_111"/>
      <sheetName val="Bill_311"/>
      <sheetName val="Bill_411"/>
      <sheetName val="Bill_511"/>
      <sheetName val="Bill_611"/>
      <sheetName val="Bill_711"/>
      <sheetName val="Invoice_Summary10"/>
      <sheetName val="2_Div_14_11"/>
      <sheetName val="SHOPLIST_xls10"/>
      <sheetName val="beam-reinft-IIInd_floor10"/>
      <sheetName val="PROJECT_BRIEF11"/>
      <sheetName val="C_(3)11"/>
      <sheetName val="beam-reinft-machine_rm10"/>
      <sheetName val="POWER_ASSUMPTIONS10"/>
      <sheetName val="Activity_List9"/>
      <sheetName val="Softscape_Buildup9"/>
      <sheetName val="Mat'l_Rate9"/>
      <sheetName val="Civil_Boq9"/>
      <sheetName val="HIRED_LABOUR_CODE7"/>
      <sheetName val="PA-_Consutant_7"/>
      <sheetName val="foot-slab_reinft7"/>
      <sheetName val="WITHOUT_C&amp;I_PROFIT_(3)9"/>
      <sheetName val="VALVE_CHAMBERS6"/>
      <sheetName val="Fire_Hydrants6"/>
      <sheetName val="B_GATE_VALVE6"/>
      <sheetName val="Sub_G1_Fire6"/>
      <sheetName val="Sub_G12_Fire6"/>
      <sheetName val="BILL_COV7"/>
      <sheetName val="Ra__stair7"/>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Day_work6"/>
      <sheetName val="Materials_Cost(PCC)6"/>
      <sheetName val="India_F&amp;S_Template6"/>
      <sheetName val="IO_LIST6"/>
      <sheetName val="Material_6"/>
      <sheetName val="Quote_Sheet6"/>
      <sheetName val="DETAILED__BOQ7"/>
      <sheetName val="M-Book_for_Conc7"/>
      <sheetName val="M-Book_for_FW7"/>
      <sheetName val="Eq__Mobilization5"/>
      <sheetName val="w't_table4"/>
      <sheetName val="B09_15"/>
      <sheetName val="BOQ_Direct_selling_cost6"/>
      <sheetName val="2_2)Revised_Cash_Flow4"/>
      <sheetName val="Elemental_Buildup4"/>
      <sheetName val="PMWeb_data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Working_for_RCC5"/>
      <sheetName val="CHART_OF_ACCOUNTS5"/>
      <sheetName val="E-Bill_No_6_A-O5"/>
      <sheetName val="B185-B-9_15"/>
      <sheetName val="B185-B-9_25"/>
      <sheetName val="SS_MH5"/>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Material_List_4"/>
      <sheetName val="Index_List4"/>
      <sheetName val="Type_List4"/>
      <sheetName val="File_Types4"/>
      <sheetName val="/VWVU))tÏØ0__4"/>
      <sheetName val="입찰내역_발주처_양식4"/>
      <sheetName val="PRECAST_lightconc-II6"/>
      <sheetName val="final_abstract6"/>
      <sheetName val="E_&amp;_R2"/>
      <sheetName val="Chiet_t4"/>
      <sheetName val="Staffing_and_Rates_IA4"/>
      <sheetName val="Labour_&amp;_Plant1"/>
      <sheetName val="SITE_WORK1"/>
      <sheetName val="Рабочий_лист1"/>
      <sheetName val="Back_up1"/>
      <sheetName val="Rate_summary1"/>
      <sheetName val="INDIGINEOUS_ITEMS_1"/>
      <sheetName val="[SHOPLIST_xls][SHOPLIST_xls]701"/>
      <sheetName val="RAB_AR&amp;STR1"/>
      <sheetName val="TRIAL_BALANCE1"/>
      <sheetName val="Ave_wtd_rates1"/>
      <sheetName val="Debits_as_on_12_04_081"/>
      <sheetName val="STAFFSCHED_1"/>
      <sheetName val="Geneí¬_i_0_"/>
      <sheetName val="70,/0s«_iÆø_í¬_i"/>
      <sheetName val="Common_Variables"/>
      <sheetName val="PT_141-_Site_A_Landscape"/>
      <sheetName val="d-safe_DELUXE"/>
      <sheetName val="Mall_waterproofing"/>
      <sheetName val="MSCP_waterproofing"/>
      <sheetName val="Duct_Accesories"/>
      <sheetName val="train_cash"/>
      <sheetName val="accom_cash"/>
      <sheetName val="Geneí¬i_x0"/>
      <sheetName val="70,_0s«i_x"/>
      <sheetName val="_x0"/>
      <sheetName val="[SHOPLIST_xls]70,/0s«iÆøí¬"/>
      <sheetName val="[SHOPLIST_xls]70,/0s«iÆøí¬i"/>
      <sheetName val="Risk_Breakdown_Structure1"/>
      <sheetName val="Gra¦)_x0"/>
      <sheetName val="_VWVU)_x"/>
      <sheetName val="Geneí¬i???0_"/>
      <sheetName val="70?,/0?s«i?Æøí¬i?"/>
      <sheetName val="Geneí¬i___0_"/>
      <sheetName val="70_,_0_s«i_Æøí¬i_"/>
      <sheetName val="Equipment_Rates"/>
      <sheetName val="????_???_??"/>
      <sheetName val="GPL_Revenu_Update"/>
      <sheetName val="DO_NOT_TOUCH"/>
      <sheetName val="Work_Type"/>
      <sheetName val="Geneí¬_i"/>
      <sheetName val="instructions"/>
      <sheetName val="steel total"/>
      <sheetName val="ELE BOQ"/>
      <sheetName val="70,"/>
      <sheetName val="ConferenceCentre?옰ʒ䄂ʒ鵠ʐ䄂ʒ閐̐脭め_x0005_"/>
      <sheetName val="[SHOPLIST.xls]70"/>
      <sheetName val="[SHOPLIST.xls]70,"/>
      <sheetName val="DATI_CONS"/>
      <sheetName val="PROCTOR"/>
      <sheetName val="Core Data"/>
      <sheetName val="[SHOPLIST.xls]/VWVU))tÏØ0__4"/>
      <sheetName val="[SHOPLIST.xls]70,/0s«_iÆø_í¬_i"/>
      <sheetName val="[SHOPLIST.xls]70?,/0?s«i?Æøí¬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efreshError="1"/>
      <sheetData sheetId="255" refreshError="1"/>
      <sheetData sheetId="256" refreshError="1"/>
      <sheetData sheetId="257"/>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refreshError="1"/>
      <sheetData sheetId="421" refreshError="1"/>
      <sheetData sheetId="422" refreshError="1"/>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refreshError="1"/>
      <sheetData sheetId="885" refreshError="1"/>
      <sheetData sheetId="886" refreshError="1"/>
      <sheetData sheetId="887" refreshError="1"/>
      <sheetData sheetId="888" refreshError="1"/>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refreshError="1"/>
      <sheetData sheetId="968" refreshError="1"/>
      <sheetData sheetId="969" refreshError="1"/>
      <sheetData sheetId="970" refreshError="1"/>
      <sheetData sheetId="971" refreshError="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refreshError="1"/>
      <sheetData sheetId="1075" refreshError="1"/>
      <sheetData sheetId="1076" refreshError="1"/>
      <sheetData sheetId="1077" refreshError="1"/>
      <sheetData sheetId="1078" refreshError="1"/>
      <sheetData sheetId="1079"/>
      <sheetData sheetId="1080"/>
      <sheetData sheetId="108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sheetData sheetId="1093" refreshError="1"/>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refreshError="1"/>
      <sheetData sheetId="1295" refreshError="1"/>
      <sheetData sheetId="1296" refreshError="1"/>
      <sheetData sheetId="1297" refreshError="1"/>
      <sheetData sheetId="1298" refreshError="1"/>
      <sheetData sheetId="1299"/>
      <sheetData sheetId="1300"/>
      <sheetData sheetId="1301"/>
      <sheetData sheetId="1302"/>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sheetData sheetId="1347"/>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refreshError="1"/>
      <sheetData sheetId="1369" refreshError="1"/>
      <sheetData sheetId="1370" refreshError="1"/>
      <sheetData sheetId="1371" refreshError="1"/>
      <sheetData sheetId="1372" refreshError="1"/>
      <sheetData sheetId="1373" refreshError="1"/>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sheetData sheetId="1387" refreshError="1"/>
      <sheetData sheetId="1388"/>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refreshError="1"/>
      <sheetData sheetId="1401" refreshError="1"/>
      <sheetData sheetId="1402" refreshError="1"/>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refreshError="1"/>
      <sheetData sheetId="1606" refreshError="1"/>
      <sheetData sheetId="1607" refreshError="1"/>
      <sheetData sheetId="1608" refreshError="1"/>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refreshError="1"/>
      <sheetData sheetId="1731" refreshError="1"/>
      <sheetData sheetId="1732" refreshError="1"/>
      <sheetData sheetId="1733"/>
      <sheetData sheetId="1734" refreshError="1"/>
      <sheetData sheetId="1735"/>
      <sheetData sheetId="1736"/>
      <sheetData sheetId="1737"/>
      <sheetData sheetId="1738" refreshError="1"/>
      <sheetData sheetId="1739" refreshError="1"/>
      <sheetData sheetId="1740" refreshError="1"/>
      <sheetData sheetId="1741" refreshError="1"/>
      <sheetData sheetId="1742" refreshError="1"/>
      <sheetData sheetId="1743" refreshError="1"/>
      <sheetData sheetId="1744" refreshError="1"/>
      <sheetData sheetId="1745"/>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sheetData sheetId="1780"/>
      <sheetData sheetId="178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refreshError="1"/>
      <sheetData sheetId="1948" refreshError="1"/>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refreshError="1"/>
      <sheetData sheetId="2060" refreshError="1"/>
      <sheetData sheetId="2061" refreshError="1"/>
      <sheetData sheetId="2062" refreshError="1"/>
      <sheetData sheetId="2063"/>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sheetData sheetId="2099"/>
      <sheetData sheetId="2100"/>
      <sheetData sheetId="2101"/>
      <sheetData sheetId="2102"/>
      <sheetData sheetId="2103" refreshError="1"/>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Details"/>
      <sheetName val="."/>
      <sheetName val="Final Tender"/>
      <sheetName val="Sch A-Viaduct"/>
      <sheetName val="Station for phy s curve"/>
      <sheetName val="for phy s curve viaduct"/>
      <sheetName val="Rev Cash Flow"/>
      <sheetName val="fin S Curve"/>
      <sheetName val="for phy s curve FOB"/>
      <sheetName val="for phy s curve sch B"/>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row r="8">
          <cell r="F8" t="str">
            <v>Premium</v>
          </cell>
        </row>
        <row r="13">
          <cell r="F13">
            <v>8.0000000000000002E-3</v>
          </cell>
        </row>
        <row r="18">
          <cell r="F18">
            <v>0.01</v>
          </cell>
        </row>
        <row r="28">
          <cell r="B28" t="str">
            <v>BOND CHARGES</v>
          </cell>
        </row>
        <row r="30">
          <cell r="B30" t="str">
            <v>Tender Security</v>
          </cell>
        </row>
        <row r="31">
          <cell r="B31" t="str">
            <v>Cash Deposit</v>
          </cell>
          <cell r="F31">
            <v>0.1</v>
          </cell>
        </row>
        <row r="32">
          <cell r="B32" t="str">
            <v>Bank Gurantee</v>
          </cell>
          <cell r="F32">
            <v>0.01</v>
          </cell>
        </row>
        <row r="34">
          <cell r="B34" t="str">
            <v>Performance Bond Charges</v>
          </cell>
          <cell r="F34">
            <v>0.01</v>
          </cell>
        </row>
        <row r="36">
          <cell r="B36" t="str">
            <v>Mob Adv BG</v>
          </cell>
        </row>
        <row r="37">
          <cell r="B37" t="str">
            <v>1st Installment</v>
          </cell>
          <cell r="F37">
            <v>0.01</v>
          </cell>
        </row>
        <row r="38">
          <cell r="B38" t="str">
            <v>2nd Installment</v>
          </cell>
          <cell r="F38">
            <v>0</v>
          </cell>
        </row>
        <row r="39">
          <cell r="B39" t="str">
            <v>3rd Installment</v>
          </cell>
          <cell r="F39">
            <v>0</v>
          </cell>
        </row>
        <row r="41">
          <cell r="B41" t="str">
            <v>Sub Total</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s>
    <sheetDataSet>
      <sheetData sheetId="0"/>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D  BOQ 12.11.07"/>
      <sheetName val="Q-Abstract"/>
      <sheetName val="R-Baricade"/>
      <sheetName val="R-Pil"/>
      <sheetName val="R-PCC,Pile Cap &amp; O Fd"/>
      <sheetName val="Investment"/>
      <sheetName val="R-Pier"/>
      <sheetName val="R-CB"/>
      <sheetName val="R -In Situ. ptl, ext PC, U gdr"/>
      <sheetName val="R-U girder"/>
      <sheetName val="R-Laun"/>
      <sheetName val="R PrecastPier Cap"/>
      <sheetName val="R-Hire"/>
      <sheetName val="R Reinforcement"/>
      <sheetName val="Cost of equip,fabrication"/>
      <sheetName val="REVD  BOQ 24.9"/>
      <sheetName val="R-Con"/>
      <sheetName val="R-Prest"/>
      <sheetName val="Equip Depl"/>
      <sheetName val="R-OS"/>
      <sheetName val="R-Mat"/>
      <sheetName val="R-Bear"/>
      <sheetName val="R-CT"/>
      <sheetName val="P-Ins &amp; Bonds"/>
      <sheetName val="P-Finance"/>
      <sheetName val="P-Salary"/>
      <sheetName val="P Staff fac"/>
      <sheetName val="P-Site fac"/>
      <sheetName val="P-Clients fac"/>
      <sheetName val="P-others"/>
      <sheetName val="P-Travel"/>
      <sheetName val="P-Admn"/>
      <sheetName val="P-Lab"/>
      <sheetName val="P Cash Flo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
      <sheetName val="Meth.&amp; Dime."/>
      <sheetName val="Technique"/>
      <sheetName val="Risk Open."/>
      <sheetName val="Risk Te. Co."/>
      <sheetName val="Closing"/>
      <sheetName val="BQMPALOC"/>
      <sheetName val="FitOutConfCentre"/>
    </sheetNames>
    <sheetDataSet>
      <sheetData sheetId="0">
        <row r="27">
          <cell r="I27" t="str">
            <v>?</v>
          </cell>
        </row>
      </sheetData>
      <sheetData sheetId="1"/>
      <sheetData sheetId="2"/>
      <sheetData sheetId="3"/>
      <sheetData sheetId="4">
        <row r="18">
          <cell r="C18">
            <v>0</v>
          </cell>
        </row>
      </sheetData>
      <sheetData sheetId="5">
        <row r="15">
          <cell r="B15" t="str">
            <v>?</v>
          </cell>
        </row>
      </sheetData>
      <sheetData sheetId="6" refreshError="1"/>
      <sheetData sheetId="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EXURE-A"/>
      <sheetName val="ANNEXURE-B"/>
      <sheetName val="ANNEXURE-C"/>
      <sheetName val="ANNEXURE-D"/>
      <sheetName val="ANNEXURE-E"/>
      <sheetName val="ANNEXURE-F"/>
      <sheetName val="ANNEXURE-G"/>
      <sheetName val="ANNEXURE-H"/>
      <sheetName val="ANNEXURE-I"/>
      <sheetName val="ANNEXURE-J"/>
      <sheetName val="rate analysis"/>
      <sheetName val="basic rate"/>
      <sheetName val="p&amp;m analysis"/>
      <sheetName val="Closing"/>
      <sheetName val="Risk Te. Co."/>
      <sheetName val="Informa."/>
      <sheetName val="Wordsdata"/>
      <sheetName val="rate_analysis"/>
      <sheetName val="basic_rate"/>
      <sheetName val="p&amp;m_analysis"/>
      <sheetName val="DETAILED  BOQ"/>
      <sheetName val="TABLES"/>
      <sheetName val="ETC Plant Cost"/>
      <sheetName val="Timesheet"/>
      <sheetName val="Admin"/>
      <sheetName val="BQMPALOC"/>
      <sheetName val="SPT vs PHI"/>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NAL"/>
    </sheetNames>
    <sheetDataSet>
      <sheetData sheetId="0">
        <row r="1">
          <cell r="A1" t="str">
            <v>CONSTRUCTION OF 400/220kV BAHADURGARH SUBSTATION(NEW)ASSOCIATED WITH SYSTEM STRENGTHENING SCHEME FOR NORTHERN REGION(PACKAGE-B)</v>
          </cell>
        </row>
      </sheetData>
      <sheetData sheetId="1">
        <row r="1">
          <cell r="A1" t="str">
            <v>CONSTRUCTION OF 400/220kV BAHADURGARH SUBSTATION(NEW)ASSOCIATED WITH SYSTEM STRENGTHENING SCHEME FOR NORTHERN REGION(PACKAGE-B)</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SYSTEM 945 Air&amp;Nitrogen"/>
      <sheetName val="ANNEXURE-A"/>
      <sheetName val="Closing"/>
      <sheetName val="Risk Te. Co."/>
      <sheetName val="Infor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Notes"/>
      <sheetName val="Hold"/>
      <sheetName val="LIST"/>
      <sheetName val="Topside cum weight"/>
      <sheetName val="UNIT 340"/>
      <sheetName val="SYSTEM 943-944 HM CM Syst"/>
      <sheetName val="SYSTEM 945 Air&amp;Nitrogen"/>
      <sheetName val="LOCAL EQUIP ROOM"/>
      <sheetName val="M 11"/>
      <sheetName val="ANNEXURE-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GENERALITY"/>
      <sheetName val="MTO"/>
      <sheetName val="REQUISITIONS"/>
      <sheetName val="INNER TANK"/>
      <sheetName val="SPECTRE"/>
      <sheetName val="INNER TANK SEISMIC"/>
      <sheetName val="DATA_DRAWING"/>
      <sheetName val="ANCHOR STRAP"/>
      <sheetName val="SUSPENDED DECK"/>
      <sheetName val="PERLITE"/>
      <sheetName val="COMP. RING - CONCRETE"/>
      <sheetName val="INNER SEISMIC ANCHOR"/>
      <sheetName val="SEISMIC - BS 2654"/>
      <sheetName val="ROOF PLATE"/>
      <sheetName val="FOUNDATIONS"/>
      <sheetName val="MACRO 1 - Susp. Deck"/>
      <sheetName val="MACRO 3 - Roof Plate"/>
      <sheetName val="MACROS_DIVERS"/>
      <sheetName val="SOLVEUR ROOF PLATE"/>
      <sheetName val="Welds"/>
      <sheetName val="PERLITE_PRESSURE"/>
      <sheetName val="Terminology"/>
      <sheetName val="IMPRESSION"/>
      <sheetName val="MACRO IMPRESSION"/>
      <sheetName val="MACRO SOMMAIRE"/>
      <sheetName val="Macros roof &amp; ring"/>
      <sheetName val="Codes,..."/>
      <sheetName val="REVISION"/>
      <sheetName val="MATERIALS"/>
      <sheetName val="IPE"/>
      <sheetName val="CALCUL_IMPULSIVE_MASS"/>
      <sheetName val="THOUTERTANK"/>
      <sheetName val="Rapport sur la compatibilité"/>
      <sheetName val="SYSTEM 945 Air&amp;Nitrogen"/>
      <sheetName val="M 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Appendix - 5"/>
      <sheetName val="Appendix - 6"/>
      <sheetName val="Appendix - 7"/>
      <sheetName val="Appendix - 8A"/>
      <sheetName val="Annx"/>
      <sheetName val="Appendix - 8B"/>
      <sheetName val="Appendix - 20"/>
      <sheetName val="Sheet6"/>
      <sheetName val="Sheet5"/>
      <sheetName val="Sheet4"/>
      <sheetName val="PERLITE"/>
      <sheetName val="MTO"/>
      <sheetName val="DATA_DRAWING"/>
      <sheetName val="SYSTEM 945 Air&amp;Nitrog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JHFGJGXBGCCNCVCCVVCVCC2"/>
      <sheetName val="#REF"/>
      <sheetName val="ANNEXURE-A"/>
      <sheetName val="bm"/>
      <sheetName val="Code"/>
      <sheetName val="PERLITE"/>
      <sheetName val="MTO"/>
      <sheetName val="DATA_DRAW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ch"/>
      <sheetName val="Demolition"/>
      <sheetName val="P&amp;M Cost-Mech "/>
      <sheetName val="PM Demolition "/>
      <sheetName val="P&amp;M Analysis - Shell"/>
      <sheetName val="#REF"/>
      <sheetName val="Code"/>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cell r="U179">
            <v>218</v>
          </cell>
          <cell r="V179">
            <v>302</v>
          </cell>
          <cell r="W179">
            <v>419</v>
          </cell>
          <cell r="X179">
            <v>433</v>
          </cell>
          <cell r="Y179">
            <v>430</v>
          </cell>
          <cell r="Z179">
            <v>494</v>
          </cell>
          <cell r="AA179">
            <v>520</v>
          </cell>
          <cell r="AB179">
            <v>522</v>
          </cell>
          <cell r="AC179">
            <v>508</v>
          </cell>
          <cell r="AD179">
            <v>581</v>
          </cell>
          <cell r="AE179">
            <v>524</v>
          </cell>
          <cell r="AF179">
            <v>526</v>
          </cell>
          <cell r="AG179">
            <v>502</v>
          </cell>
          <cell r="AH179">
            <v>248</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G17">
            <v>934385.75607295427</v>
          </cell>
          <cell r="J17">
            <v>3270260.8906708667</v>
          </cell>
          <cell r="K17">
            <v>169371.15460847877</v>
          </cell>
        </row>
        <row r="18">
          <cell r="G18">
            <v>944284.9960087979</v>
          </cell>
          <cell r="J18">
            <v>-441747.35457777925</v>
          </cell>
          <cell r="K18">
            <v>-272376.19996930048</v>
          </cell>
        </row>
        <row r="19">
          <cell r="G19">
            <v>1100235.2378667907</v>
          </cell>
          <cell r="J19">
            <v>-565829.35575965873</v>
          </cell>
          <cell r="K19">
            <v>-838205.55572895915</v>
          </cell>
        </row>
        <row r="20">
          <cell r="G20">
            <v>1079751.2161132174</v>
          </cell>
          <cell r="J20">
            <v>-339427.47117581428</v>
          </cell>
          <cell r="K20">
            <v>-1177633.0269047734</v>
          </cell>
        </row>
        <row r="21">
          <cell r="G21">
            <v>1123783.6778401346</v>
          </cell>
          <cell r="J21">
            <v>-96645.766817710944</v>
          </cell>
          <cell r="K21">
            <v>-1274278.7937224843</v>
          </cell>
        </row>
        <row r="22">
          <cell r="G22">
            <v>1105143.8836787788</v>
          </cell>
          <cell r="J22">
            <v>-43686.328851310071</v>
          </cell>
          <cell r="K22">
            <v>-1317965.1225737943</v>
          </cell>
        </row>
        <row r="23">
          <cell r="G23">
            <v>1211873.7212221269</v>
          </cell>
          <cell r="J23">
            <v>-157770.37578145368</v>
          </cell>
          <cell r="K23">
            <v>-1475735.498355248</v>
          </cell>
        </row>
        <row r="24">
          <cell r="G24">
            <v>1242897.4469518734</v>
          </cell>
          <cell r="J24">
            <v>-31904.301259564934</v>
          </cell>
          <cell r="K24">
            <v>-1507639.7996148129</v>
          </cell>
        </row>
        <row r="25">
          <cell r="G25">
            <v>1242388.6634660121</v>
          </cell>
          <cell r="J25">
            <v>32340.963578523137</v>
          </cell>
          <cell r="K25">
            <v>-1475298.8360362898</v>
          </cell>
        </row>
        <row r="26">
          <cell r="G26">
            <v>1173097.4003922935</v>
          </cell>
          <cell r="J26">
            <v>106535.03291010531</v>
          </cell>
          <cell r="K26">
            <v>-1368763.8031261845</v>
          </cell>
        </row>
        <row r="27">
          <cell r="G27">
            <v>1246958.3770815907</v>
          </cell>
          <cell r="J27">
            <v>-1645.5875842371024</v>
          </cell>
          <cell r="K27">
            <v>-1370409.3907104216</v>
          </cell>
        </row>
        <row r="28">
          <cell r="G28">
            <v>1129849.8697283007</v>
          </cell>
          <cell r="J28">
            <v>294415.34818107402</v>
          </cell>
          <cell r="K28">
            <v>-1075994.0425293476</v>
          </cell>
        </row>
        <row r="29">
          <cell r="G29">
            <v>1362669.9593027527</v>
          </cell>
          <cell r="J29">
            <v>-78134.719742490212</v>
          </cell>
          <cell r="K29">
            <v>-1154128.7622718378</v>
          </cell>
        </row>
        <row r="30">
          <cell r="G30">
            <v>1257111.2537174637</v>
          </cell>
          <cell r="J30">
            <v>32326.792100662133</v>
          </cell>
          <cell r="K30">
            <v>-1121801.9701711757</v>
          </cell>
        </row>
        <row r="31">
          <cell r="G31">
            <v>766806.14375081041</v>
          </cell>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Sheet1"/>
      <sheetName val="Sheet6"/>
      <sheetName val="Sheet2"/>
      <sheetName val="Sheet7"/>
      <sheetName val="Sheet4"/>
      <sheetName val="Sheet5"/>
      <sheetName val="Sheet3"/>
      <sheetName val="XL4Poppy"/>
      <sheetName val="(1)TK_ThueGTGT_Thang"/>
      <sheetName val="#REF"/>
      <sheetName val="6PILE  (돌출)"/>
      <sheetName val="PM Demolition "/>
    </sheetNames>
    <definedNames>
      <definedName name="_10MACRO_SOMMAIRE_.Bouton5_QuandClic" sheetId="12"/>
      <definedName name="_11MACRO_SOMMAIRE_.Bouton10_QuandClic" sheetId="12"/>
      <definedName name="_11MACRO_SOMMAIRE_.Bouton6_QuandClic" sheetId="12"/>
      <definedName name="_12MACRO_SOMMAIRE_.Bouton7_QuandClic" sheetId="12"/>
      <definedName name="_13MACRO_SOMMAIRE_.Bouton8_QuandClic" sheetId="12"/>
      <definedName name="_14MACRO_SOMMAIRE_.Bouton11_QuandClic" sheetId="12"/>
      <definedName name="_14MACRO_SOMMAIRE_.Bouton9_QuandClic" sheetId="12"/>
      <definedName name="_15MACROS_IMPRESSION_.Choix" sheetId="12"/>
      <definedName name="_16MACROS_IMPRESSION_.Démare" sheetId="12"/>
      <definedName name="_17MACRO_SOMMAIRE_.Bouton12_QuandClic" sheetId="12"/>
      <definedName name="_1MACRO_3___Roof_Plate_.resolution" sheetId="12"/>
      <definedName name="_20MACRO_SOMMAIRE_.Bouton13_QuandClic" sheetId="12"/>
      <definedName name="_23MACRO_SOMMAIRE_.Bouton2_QuandClic" sheetId="12"/>
      <definedName name="_26MACRO_SOMMAIRE_.Bouton3_QuandClic" sheetId="12"/>
      <definedName name="_29MACRO_SOMMAIRE_.Bouton4_QuandClic" sheetId="12"/>
      <definedName name="_2MACRO_SOMMAIRE_.Bouton1_QuandClic" sheetId="12"/>
      <definedName name="_32MACRO_SOMMAIRE_.Bouton5_QuandClic" sheetId="12"/>
      <definedName name="_35MACRO_SOMMAIRE_.Bouton6_QuandClic" sheetId="12"/>
      <definedName name="_38MACRO_SOMMAIRE_.Bouton7_QuandClic" sheetId="12"/>
      <definedName name="_3MACRO_3___Roof_Plate_.resolution" sheetId="12"/>
      <definedName name="_3MACRO_SOMMAIRE_.Bouton10_QuandClic" sheetId="12"/>
      <definedName name="_41MACRO_SOMMAIRE_.Bouton8_QuandClic" sheetId="12"/>
      <definedName name="_44MACRO_SOMMAIRE_.Bouton9_QuandClic" sheetId="12"/>
      <definedName name="_4MACRO_SOMMAIRE_.Bouton11_QuandClic" sheetId="12"/>
      <definedName name="_51MACROS_IMPRESSION_.Choix" sheetId="12"/>
      <definedName name="_54MACROS_IMPRESSION_.Démare" sheetId="12"/>
      <definedName name="_5MACRO_SOMMAIRE_.Bouton12_QuandClic" sheetId="12"/>
      <definedName name="_6MACRO_SOMMAIRE_.Bouton13_QuandClic" sheetId="12"/>
      <definedName name="_7MACRO_SOMMAIRE_.Bouton2_QuandClic" sheetId="12"/>
      <definedName name="_8MACRO_SOMMAIRE_.Bouton1_QuandClic" sheetId="12"/>
      <definedName name="_8MACRO_SOMMAIRE_.Bouton3_QuandClic" sheetId="12"/>
      <definedName name="_9MACRO_SOMMAIRE_.Bouton4_QuandClic" sheetId="12"/>
      <definedName name="Bouton12_QuandClic" sheetId="12"/>
      <definedName name="Bouton13_QuandClic" sheetId="12"/>
      <definedName name="Choix" sheetId="12"/>
      <definedName name="Macro1" sheetId="12"/>
      <definedName name="macro11" sheetId="12"/>
      <definedName name="Macro20" sheetId="12"/>
      <definedName name="macro200" sheetId="12"/>
      <definedName name="macro201" sheetId="12"/>
      <definedName name="RESOLUTION" sheetId="12"/>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Details"/>
      <sheetName val="."/>
      <sheetName val="Final Tender"/>
      <sheetName val="Sch A-Viaduct"/>
      <sheetName val="Budget"/>
      <sheetName val="Sch A - Typ Station "/>
      <sheetName val="R-Stations"/>
      <sheetName val="FOB"/>
      <sheetName val=","/>
      <sheetName val=";"/>
      <sheetName val="Sch B"/>
      <sheetName val="Strip Plan"/>
      <sheetName val="Major Items"/>
      <sheetName val="Cost of equip,fabrication"/>
      <sheetName val="Schedule"/>
      <sheetName val="Late start"/>
      <sheetName val="early start"/>
      <sheetName val="Q-INP"/>
      <sheetName val="Q-Abstract"/>
      <sheetName val="Q Baricade"/>
      <sheetName val="Q-Pil"/>
      <sheetName val="Q-PC"/>
      <sheetName val="Q-Pier"/>
      <sheetName val="Q-Seg"/>
      <sheetName val="Q-Para"/>
      <sheetName val="Q-CB"/>
      <sheetName val="Q-Be"/>
      <sheetName val="Q-HTS"/>
      <sheetName val="Q-CT"/>
      <sheetName val="Q-OS"/>
      <sheetName val="Q HR"/>
      <sheetName val="R-Mat"/>
      <sheetName val="R-Subcon"/>
      <sheetName val="R-Hire"/>
      <sheetName val="Equip Depl"/>
      <sheetName val="R-Con"/>
      <sheetName val="R-Pil"/>
      <sheetName val="R-PC"/>
      <sheetName val="R-Pier"/>
      <sheetName val="R-Void Slab"/>
      <sheetName val="R-Seg"/>
      <sheetName val="R-Prest"/>
      <sheetName val="R-Laun"/>
      <sheetName val="R-OS"/>
      <sheetName val="R-SKB"/>
      <sheetName val="R-Bear"/>
      <sheetName val="R-CB"/>
      <sheetName val="R-Para"/>
      <sheetName val="R - portal"/>
      <sheetName val="R CLC"/>
      <sheetName val="R-CT"/>
      <sheetName val="P-Summary"/>
      <sheetName val="P-Ins &amp; Bonds"/>
      <sheetName val="P-Finance"/>
      <sheetName val="P-Salary"/>
      <sheetName val="P Staff fac"/>
      <sheetName val="P-Site fac"/>
      <sheetName val="P-Clients fac"/>
      <sheetName val="P-others"/>
      <sheetName val="P-Travel"/>
      <sheetName val="P-Admn"/>
      <sheetName val="P-Lab"/>
      <sheetName val="P Cash Flow"/>
    </sheetNames>
    <sheetDataSet>
      <sheetData sheetId="0" refreshError="1"/>
      <sheetData sheetId="1" refreshError="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refreshError="1"/>
      <sheetData sheetId="52"/>
      <sheetData sheetId="53" refreshError="1"/>
      <sheetData sheetId="54" refreshError="1"/>
      <sheetData sheetId="55" refreshError="1"/>
      <sheetData sheetId="56"/>
      <sheetData sheetId="57"/>
      <sheetData sheetId="58" refreshError="1"/>
      <sheetData sheetId="59" refreshError="1"/>
      <sheetData sheetId="60" refreshError="1"/>
      <sheetData sheetId="61" refreshError="1"/>
      <sheetData sheetId="6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PM Demolition "/>
    </sheetNames>
    <sheetDataSet>
      <sheetData sheetId="0"/>
      <sheetData sheetId="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T"/>
      <sheetName val="NC"/>
      <sheetName val="MTP"/>
    </sheetNames>
    <sheetDataSet>
      <sheetData sheetId="0" refreshError="1"/>
      <sheetData sheetId="1" refreshError="1"/>
      <sheetData sheetId="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om C"/>
      <sheetName val="Pipeline"/>
      <sheetName val="Plant"/>
      <sheetName val="Chart"/>
      <sheetName val="Midyan Construction Direct Manh"/>
      <sheetName val="MTP"/>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P"/>
      <sheetName val="CK70703"/>
    </sheetNames>
    <definedNames>
      <definedName name="_1module4_1_.begin_macro"/>
      <definedName name="CRACK"/>
      <definedName name="editbos50"/>
      <definedName name="editbox"/>
      <definedName name="editbox011"/>
      <definedName name="editbox1"/>
      <definedName name="editbox10"/>
      <definedName name="editbox100"/>
      <definedName name="editbox11"/>
      <definedName name="editbox1117"/>
      <definedName name="editbox12"/>
      <definedName name="editbox13"/>
      <definedName name="editbox14"/>
      <definedName name="editbox15"/>
      <definedName name="editbox17"/>
      <definedName name="editbox2"/>
      <definedName name="editbox3"/>
      <definedName name="editbox30"/>
      <definedName name="editbox4"/>
      <definedName name="editbox40"/>
      <definedName name="editbox5"/>
      <definedName name="editbox8"/>
      <definedName name="editbox80"/>
      <definedName name="EDITBOX80A"/>
      <definedName name="EDITBOX8A"/>
      <definedName name="editbox9"/>
      <definedName name="editbox90"/>
    </definedNames>
    <sheetDataSet>
      <sheetData sheetId="0"/>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Main "/>
      <sheetName val="Load Comb"/>
      <sheetName val="Analysis and design results"/>
      <sheetName val="Sls"/>
      <sheetName val="Uls"/>
      <sheetName val="5-Piles"/>
      <sheetName val="4-Piles"/>
      <sheetName val="4-Piles (2)"/>
      <sheetName val="pedestal"/>
      <sheetName val="Bolts"/>
      <sheetName val="STAAD OUTPUT"/>
      <sheetName val="Calendar"/>
    </sheetNames>
    <sheetDataSet>
      <sheetData sheetId="0" refreshError="1"/>
      <sheetData sheetId="1" refreshError="1"/>
      <sheetData sheetId="2" refreshError="1"/>
      <sheetData sheetId="3" refreshError="1">
        <row r="22">
          <cell r="A22" t="str">
            <v>6  ANALYSIS RESULT AND FOUNDATION DESIGN</v>
          </cell>
        </row>
      </sheetData>
      <sheetData sheetId="4" refreshError="1">
        <row r="5">
          <cell r="I5" t="str">
            <v>FOUNDATION CALCULATION NOTE FOR PIPERACK PR-3F3</v>
          </cell>
        </row>
        <row r="7">
          <cell r="A7" t="str">
            <v xml:space="preserve"> </v>
          </cell>
          <cell r="B7" t="str">
            <v>A</v>
          </cell>
          <cell r="C7" t="str">
            <v>Horizontal</v>
          </cell>
          <cell r="D7" t="str">
            <v>Vertical</v>
          </cell>
          <cell r="E7" t="str">
            <v>Horizontal</v>
          </cell>
          <cell r="I7">
            <v>6.1</v>
          </cell>
          <cell r="J7" t="str">
            <v xml:space="preserve"> LOADS FROM STRUCTURE ON SUPPORTS FOR SERVICEABILITY LIMIT STATE</v>
          </cell>
        </row>
        <row r="8">
          <cell r="A8" t="str">
            <v xml:space="preserve"> </v>
          </cell>
          <cell r="B8" t="str">
            <v>A</v>
          </cell>
          <cell r="C8" t="str">
            <v>Horizontal</v>
          </cell>
          <cell r="D8" t="str">
            <v>Vertical</v>
          </cell>
          <cell r="E8" t="str">
            <v>Horizontal</v>
          </cell>
          <cell r="F8" t="str">
            <v>Moment</v>
          </cell>
          <cell r="G8" t="str">
            <v>F</v>
          </cell>
          <cell r="H8" t="str">
            <v>G</v>
          </cell>
          <cell r="K8" t="str">
            <v>Vertical</v>
          </cell>
          <cell r="L8" t="str">
            <v>Horizontal</v>
          </cell>
          <cell r="M8" t="str">
            <v>Horizontal</v>
          </cell>
        </row>
        <row r="9">
          <cell r="A9" t="str">
            <v>Node</v>
          </cell>
          <cell r="B9" t="str">
            <v>L/C</v>
          </cell>
          <cell r="C9" t="str">
            <v>Fx kN</v>
          </cell>
          <cell r="D9" t="str">
            <v>Fy kN</v>
          </cell>
          <cell r="E9" t="str">
            <v>Fz kN</v>
          </cell>
          <cell r="F9" t="str">
            <v>Mx kNm</v>
          </cell>
          <cell r="G9" t="str">
            <v>My kNm</v>
          </cell>
          <cell r="H9" t="str">
            <v>Mz kNm</v>
          </cell>
          <cell r="I9" t="str">
            <v>Node</v>
          </cell>
          <cell r="J9" t="str">
            <v>Load Case</v>
          </cell>
          <cell r="K9" t="str">
            <v>Fy kN</v>
          </cell>
          <cell r="L9" t="str">
            <v>Fx kN</v>
          </cell>
          <cell r="M9" t="str">
            <v>Fz kN</v>
          </cell>
        </row>
        <row r="10">
          <cell r="A10">
            <v>101</v>
          </cell>
          <cell r="B10" t="str">
            <v>101 0.9DL + 0.9PE + 1WLX</v>
          </cell>
          <cell r="C10">
            <v>-32.299999999999997</v>
          </cell>
          <cell r="D10">
            <v>129.6</v>
          </cell>
          <cell r="E10">
            <v>0</v>
          </cell>
          <cell r="F10">
            <v>0</v>
          </cell>
          <cell r="G10">
            <v>0</v>
          </cell>
          <cell r="H10">
            <v>153.80000000000001</v>
          </cell>
          <cell r="I10">
            <v>101</v>
          </cell>
          <cell r="J10" t="str">
            <v>101 0.9DL + 0.9PE + 1WLX</v>
          </cell>
          <cell r="K10">
            <v>-129.6</v>
          </cell>
          <cell r="L10">
            <v>32.299999999999997</v>
          </cell>
          <cell r="M10">
            <v>0</v>
          </cell>
        </row>
        <row r="11">
          <cell r="B11" t="str">
            <v>102 0.9DL + 0.9PE - 1WLX</v>
          </cell>
          <cell r="C11">
            <v>30.4</v>
          </cell>
          <cell r="D11">
            <v>192.6</v>
          </cell>
          <cell r="E11">
            <v>0</v>
          </cell>
          <cell r="F11">
            <v>0</v>
          </cell>
          <cell r="G11">
            <v>0</v>
          </cell>
          <cell r="H11">
            <v>-169.2</v>
          </cell>
          <cell r="J11" t="str">
            <v>102 0.9DL + 0.9PE - 1WLX</v>
          </cell>
          <cell r="K11">
            <v>-192.6</v>
          </cell>
          <cell r="L11">
            <v>-30.4</v>
          </cell>
          <cell r="M11">
            <v>0</v>
          </cell>
        </row>
        <row r="12">
          <cell r="B12" t="str">
            <v>103 0.9DL + 0.9PE + 1WLZ</v>
          </cell>
          <cell r="C12">
            <v>-1.1000000000000001</v>
          </cell>
          <cell r="D12">
            <v>160.9</v>
          </cell>
          <cell r="E12">
            <v>-5.9</v>
          </cell>
          <cell r="F12">
            <v>0</v>
          </cell>
          <cell r="G12">
            <v>0.1</v>
          </cell>
          <cell r="H12">
            <v>-7.1</v>
          </cell>
          <cell r="J12" t="str">
            <v>103 0.9DL + 0.9PE + 1WLZ</v>
          </cell>
          <cell r="K12">
            <v>-160.9</v>
          </cell>
          <cell r="L12">
            <v>1.1000000000000001</v>
          </cell>
          <cell r="M12">
            <v>5.9</v>
          </cell>
        </row>
        <row r="13">
          <cell r="B13" t="str">
            <v>104 0.9DL + 0.9PE - 1WLZ</v>
          </cell>
          <cell r="C13">
            <v>-0.9</v>
          </cell>
          <cell r="D13">
            <v>161.19999999999999</v>
          </cell>
          <cell r="E13">
            <v>5.9</v>
          </cell>
          <cell r="F13">
            <v>0</v>
          </cell>
          <cell r="G13">
            <v>-0.1</v>
          </cell>
          <cell r="H13">
            <v>-8.3000000000000007</v>
          </cell>
          <cell r="J13" t="str">
            <v>104 0.9DL + 0.9PE - 1WLZ</v>
          </cell>
          <cell r="K13">
            <v>-161.19999999999999</v>
          </cell>
          <cell r="L13">
            <v>0.9</v>
          </cell>
          <cell r="M13">
            <v>-5.9</v>
          </cell>
        </row>
        <row r="14">
          <cell r="B14" t="str">
            <v>105 0.9DL + 0.9PE + 1EQX</v>
          </cell>
          <cell r="C14">
            <v>14.1</v>
          </cell>
          <cell r="D14">
            <v>181.3</v>
          </cell>
          <cell r="E14">
            <v>0</v>
          </cell>
          <cell r="F14">
            <v>0</v>
          </cell>
          <cell r="G14">
            <v>0</v>
          </cell>
          <cell r="H14">
            <v>78.900000000000006</v>
          </cell>
          <cell r="J14" t="str">
            <v>105 0.9DL + 0.9PE + 1EQX</v>
          </cell>
          <cell r="K14">
            <v>-181.3</v>
          </cell>
          <cell r="L14">
            <v>-14.1</v>
          </cell>
          <cell r="M14">
            <v>0</v>
          </cell>
        </row>
        <row r="15">
          <cell r="B15" t="str">
            <v>106 0.9DL + 0.9PE - 1EQX</v>
          </cell>
          <cell r="C15">
            <v>-16.100000000000001</v>
          </cell>
          <cell r="D15">
            <v>140.9</v>
          </cell>
          <cell r="E15">
            <v>0</v>
          </cell>
          <cell r="F15">
            <v>0</v>
          </cell>
          <cell r="G15">
            <v>0</v>
          </cell>
          <cell r="H15">
            <v>-94.4</v>
          </cell>
          <cell r="J15" t="str">
            <v>106 0.9DL + 0.9PE - 1EQX</v>
          </cell>
          <cell r="K15">
            <v>-140.9</v>
          </cell>
          <cell r="L15">
            <v>16.100000000000001</v>
          </cell>
          <cell r="M15">
            <v>0</v>
          </cell>
        </row>
        <row r="16">
          <cell r="B16" t="str">
            <v>107 0.9DL + 0.9PE + 1EQZ</v>
          </cell>
          <cell r="C16">
            <v>5.9</v>
          </cell>
          <cell r="D16">
            <v>171.8</v>
          </cell>
          <cell r="E16">
            <v>0.2</v>
          </cell>
          <cell r="F16">
            <v>0</v>
          </cell>
          <cell r="G16">
            <v>0</v>
          </cell>
          <cell r="H16">
            <v>31.3</v>
          </cell>
          <cell r="J16" t="str">
            <v>107 0.9DL + 0.9PE + 1EQZ</v>
          </cell>
          <cell r="K16">
            <v>-171.8</v>
          </cell>
          <cell r="L16">
            <v>-5.9</v>
          </cell>
          <cell r="M16">
            <v>-0.2</v>
          </cell>
        </row>
        <row r="17">
          <cell r="B17" t="str">
            <v>108 0.9DL + 0.9PE - 1EQZ</v>
          </cell>
          <cell r="C17">
            <v>-7.8</v>
          </cell>
          <cell r="D17">
            <v>150.30000000000001</v>
          </cell>
          <cell r="E17">
            <v>-0.2</v>
          </cell>
          <cell r="F17">
            <v>0</v>
          </cell>
          <cell r="G17">
            <v>0</v>
          </cell>
          <cell r="H17">
            <v>-46.7</v>
          </cell>
          <cell r="J17" t="str">
            <v>108 0.9DL + 0.9PE - 1EQZ</v>
          </cell>
          <cell r="K17">
            <v>-150.30000000000001</v>
          </cell>
          <cell r="L17">
            <v>7.8</v>
          </cell>
          <cell r="M17">
            <v>0.2</v>
          </cell>
        </row>
        <row r="18">
          <cell r="B18" t="str">
            <v>109 1DL + 1PO + 1FL + 1AL</v>
          </cell>
          <cell r="C18">
            <v>-9.8000000000000007</v>
          </cell>
          <cell r="D18">
            <v>233.3</v>
          </cell>
          <cell r="E18">
            <v>0</v>
          </cell>
          <cell r="F18">
            <v>0</v>
          </cell>
          <cell r="G18">
            <v>0</v>
          </cell>
          <cell r="H18">
            <v>33.9</v>
          </cell>
          <cell r="J18" t="str">
            <v>109 1DL + 1PO + 1FL + 1AL</v>
          </cell>
          <cell r="K18">
            <v>-233.3</v>
          </cell>
          <cell r="L18">
            <v>9.8000000000000007</v>
          </cell>
          <cell r="M18">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VT"/>
      <sheetName val="1NC"/>
      <sheetName val="Sheet1"/>
      <sheetName val="NHOMVTU"/>
      <sheetName val="MTP"/>
      <sheetName val="MTP_OLD"/>
      <sheetName val="MTP1"/>
      <sheetName val="DUTOANWB"/>
    </sheetNames>
    <sheetDataSet>
      <sheetData sheetId="0"/>
      <sheetData sheetId="1"/>
      <sheetData sheetId="2"/>
      <sheetData sheetId="3"/>
      <sheetData sheetId="4"/>
      <sheetData sheetId="5"/>
      <sheetData sheetId="6"/>
      <sheetData sheetId="7"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CL_COMP"/>
      <sheetName val="Cost Estimate_COMP"/>
      <sheetName val="Comparision"/>
      <sheetName val="CIVIL_ChemBOQ_Phase2"/>
      <sheetName val="Final_Strc_exp_Ref&amp;Sbs_Rev0"/>
      <sheetName val="Final_Reformer_Convc_Rev0"/>
      <sheetName val="Final_SSCR_DGS_Clv_Drn"/>
      <sheetName val="MACROSCOPE _STRUC_EXP_REF&amp;SUB"/>
      <sheetName val="MACRO SCOPE _REFRMR_CONVC_REV0"/>
      <sheetName val="MACRO SCOPE_SBS_CTR"/>
      <sheetName val="street lights"/>
      <sheetName val="SSbs_ChlgPlt"/>
      <sheetName val="Fdn H &amp; S"/>
      <sheetName val="N2 GAS GENERATION"/>
      <sheetName val="Pump Fdn"/>
      <sheetName val="STRBOQ"/>
      <sheetName val="B221_B222_B303_B603"/>
      <sheetName val="tie"/>
      <sheetName val="Battery limt tie-in"/>
      <sheetName val="UG_LINE"/>
      <sheetName val="Tank"/>
      <sheetName val="Subs_Ctlr_NFL "/>
      <sheetName val="street lights_Diesel day tank"/>
      <sheetName val="Transformer Fdn"/>
      <sheetName val="Substaion"/>
      <sheetName val="Storm drains"/>
      <sheetName val="Analyser Room 1&amp;3"/>
      <sheetName val="comp_stair"/>
      <sheetName val="comressor_new"/>
      <sheetName val="Compressore room"/>
      <sheetName val="WHR Section"/>
      <sheetName val="Radiant section piles"/>
      <sheetName val="Steam Drum_FDN"/>
      <sheetName val="Startup col het_E808"/>
      <sheetName val="FDN Stack"/>
      <sheetName val="pile CO2 removal(10 no.)"/>
      <sheetName val="BFW_CO2 Rem Unit"/>
      <sheetName val="Startup shelter_BFW prehtr"/>
      <sheetName val="B303_B806_B807_B809"/>
      <sheetName val="Chilling plant"/>
      <sheetName val="Pipe Rack_fdn"/>
      <sheetName val="Steam Drum"/>
      <sheetName val="WHBoiler_FGStack"/>
      <sheetName val="FG_CA_DUCT"/>
      <sheetName val="APH"/>
      <sheetName val="B301F301B302_F302_F601"/>
      <sheetName val="Hydrogenator_SulAbs1&amp;2"/>
      <sheetName val="ftg_SteamDrum"/>
      <sheetName val="Preref_HTLTConv"/>
      <sheetName val="Roads_Culvert"/>
      <sheetName val="PipeRack"/>
      <sheetName val="Piperack Section GG Footing"/>
      <sheetName val="Piperack SectionCC Footing"/>
      <sheetName val="Piperack Section AA Footing"/>
      <sheetName val="Piperack Section EE Footing"/>
      <sheetName val="Piperack SectionDD Footing"/>
      <sheetName val="NFL_Piperack"/>
      <sheetName val="1) COMMON FACILITIES"/>
      <sheetName val="MTP"/>
      <sheetName val="MTP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GENERALITY"/>
      <sheetName val="REQUISITIONS"/>
      <sheetName val="DATA_DRAWING"/>
      <sheetName val="MTO"/>
      <sheetName val="PERLITE"/>
      <sheetName val="INNER TANK"/>
      <sheetName val="SPECTRE"/>
      <sheetName val="INNER TANK SEISMIC"/>
      <sheetName val="ANCHOR STRAP"/>
      <sheetName val="SUSPENDED DECK"/>
      <sheetName val="COMP. RING - CONCRETE"/>
      <sheetName val="INNER SEISMIC ANCHOR"/>
      <sheetName val="SEISMIC - BS 2654"/>
      <sheetName val="FOUNDATIONS"/>
      <sheetName val="ROOF PLATE"/>
      <sheetName val="MACRO 1 - Susp. Deck"/>
      <sheetName val="MACRO 3 - Roof Plate"/>
      <sheetName val="MACROS_DIVERS"/>
      <sheetName val="SOLVEUR ROOF PLATE"/>
      <sheetName val="Welds"/>
      <sheetName val="PERLITE_PRESSURE"/>
      <sheetName val="Terminology"/>
      <sheetName val="IMPRESSION"/>
      <sheetName val="MACRO IMPRESSION"/>
      <sheetName val="MACRO SOMMAIRE"/>
      <sheetName val="Macros roof &amp; ring"/>
      <sheetName val="Codes,..."/>
      <sheetName val="REVISION"/>
      <sheetName val="MATERIALS"/>
      <sheetName val="IPE"/>
      <sheetName val="CALCUL_IMPULSIVE_MASS"/>
      <sheetName val="THOUTERTANK"/>
      <sheetName val="Piperack SectionCC Footing"/>
      <sheetName val="1) COMMON FACIL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refreshError="1"/>
      <sheetData sheetId="1" refreshError="1"/>
      <sheetData sheetId="2" refreshError="1">
        <row r="77">
          <cell r="D77">
            <v>7.6</v>
          </cell>
        </row>
        <row r="311">
          <cell r="D311">
            <v>5.8</v>
          </cell>
        </row>
        <row r="332">
          <cell r="D332">
            <v>6.2</v>
          </cell>
        </row>
        <row r="333">
          <cell r="D333">
            <v>0.44500000000000001</v>
          </cell>
        </row>
        <row r="343">
          <cell r="D343">
            <v>7.1</v>
          </cell>
        </row>
        <row r="344">
          <cell r="D344">
            <v>0.44500000000000001</v>
          </cell>
        </row>
        <row r="345">
          <cell r="D345">
            <v>0.89</v>
          </cell>
        </row>
        <row r="434">
          <cell r="D434">
            <v>6.4</v>
          </cell>
        </row>
        <row r="435">
          <cell r="D435">
            <v>0.44500000000000001</v>
          </cell>
        </row>
      </sheetData>
      <sheetData sheetId="3" refreshError="1"/>
      <sheetData sheetId="4" refreshError="1"/>
      <sheetData sheetId="5" refreshError="1"/>
      <sheetData sheetId="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SG"/>
      <sheetName val="총괄표"/>
      <sheetName val="POWER"/>
      <sheetName val="Plan"/>
      <sheetName val="TTL"/>
      <sheetName val="CAT_5"/>
      <sheetName val="SHL"/>
      <sheetName val="도"/>
      <sheetName val="LinerWt"/>
      <sheetName val="일위대가"/>
      <sheetName val="기계내역서"/>
      <sheetName val="Summary Sheets"/>
      <sheetName val="산근"/>
      <sheetName val="인원계획"/>
      <sheetName val="INSTR"/>
      <sheetName val="DESIGN"/>
      <sheetName val="OCT.FDN"/>
      <sheetName val="VXXXXX"/>
      <sheetName val="12CGOU"/>
      <sheetName val="EQUIP LIST"/>
      <sheetName val="CST_STAT"/>
      <sheetName val="공조위생"/>
      <sheetName val="Input"/>
      <sheetName val="Activity"/>
      <sheetName val="Crew"/>
      <sheetName val="Piping"/>
      <sheetName val="Pipe Supports"/>
      <sheetName val="환율"/>
      <sheetName val="노임9월"/>
      <sheetName val="FILTER"/>
      <sheetName val="Cash2"/>
      <sheetName val="Z"/>
      <sheetName val="기준"/>
      <sheetName val="실행내역"/>
      <sheetName val="rate"/>
      <sheetName val="WORK-VOL"/>
      <sheetName val="Process Piping"/>
      <sheetName val="9_Material Rates"/>
      <sheetName val="1_References"/>
      <sheetName val="boq"/>
      <sheetName val="P-HOT.XLS"/>
      <sheetName val="내역서"/>
      <sheetName val="3. GROUNDING SYSTEM"/>
      <sheetName val="blk"/>
      <sheetName val="Sheet3"/>
      <sheetName val="EQT-ESTN"/>
      <sheetName val="당진1,2호기전선관설치및접지4차공사내역서-을지"/>
      <sheetName val="집계표"/>
      <sheetName val="일위대가표"/>
      <sheetName val="단가"/>
      <sheetName val="B"/>
      <sheetName val="Code"/>
      <sheetName val="대비표"/>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Material and Manpower data"/>
      <sheetName val="Pricing Summary"/>
      <sheetName val="SKETCH"/>
      <sheetName val="CALCULATION"/>
      <sheetName val="PRO_DCI"/>
      <sheetName val="INST_DCI"/>
      <sheetName val="HVAC_DCI"/>
      <sheetName val="PIPE_DCI"/>
      <sheetName val="PROCURE"/>
      <sheetName val="갑지1"/>
      <sheetName val="현장지지물물량"/>
      <sheetName val="steam table"/>
      <sheetName val="조명시설"/>
      <sheetName val="CONTENTS"/>
      <sheetName val="WORK"/>
      <sheetName val="HORI. VESSEL"/>
      <sheetName val="BQ"/>
      <sheetName val="@PRICE1"/>
      <sheetName val="최종단가"/>
      <sheetName val="#REF"/>
      <sheetName val="금액내역서"/>
      <sheetName val="2.2 STAFF Scedule"/>
      <sheetName val="입출재고현황 (2)"/>
      <sheetName val="AREA"/>
      <sheetName val="바닥판"/>
      <sheetName val="TYPE1"/>
      <sheetName val="철근량"/>
      <sheetName val="토목주소"/>
      <sheetName val="프랜트면허"/>
      <sheetName val="역T형"/>
      <sheetName val="PILE"/>
      <sheetName val="장비"/>
      <sheetName val="노무"/>
      <sheetName val="자재"/>
      <sheetName val="산근1"/>
      <sheetName val="토목품셈"/>
      <sheetName val="BQMPALOC"/>
      <sheetName val="Rate Analysis"/>
      <sheetName val="Inst Matl Table"/>
      <sheetName val="Inst_Type"/>
      <sheetName val="Loop Type"/>
      <sheetName val="Tracing"/>
      <sheetName val="Hookup"/>
      <sheetName val="WBS"/>
      <sheetName val="Civil"/>
      <sheetName val="DB@Acess"/>
      <sheetName val="Quantity"/>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insulation"/>
      <sheetName val="Sheet5"/>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95삼성급(본사)"/>
      <sheetName val="Sheet1"/>
      <sheetName val="내역"/>
      <sheetName val="초기화면"/>
      <sheetName val="재료비"/>
      <sheetName val="97 사업추정(WEKI)"/>
      <sheetName val="경비"/>
      <sheetName val="Code_Magics"/>
      <sheetName val="MP MOB"/>
      <sheetName val="1. 설계조건 2.단면가정 3. 하중계산"/>
      <sheetName val="DATA 입력란"/>
      <sheetName val="GiaVL"/>
      <sheetName val="찍기"/>
      <sheetName val="공사내역"/>
      <sheetName val="D-3109"/>
      <sheetName val="TABLES"/>
      <sheetName val="당초"/>
      <sheetName val="견적"/>
      <sheetName val="Car park lease"/>
      <sheetName val="GROUNDING SYSTEM"/>
      <sheetName val="El(Increased)"/>
      <sheetName val="공사비예산서(토목분)"/>
      <sheetName val="가격조사서"/>
      <sheetName val="연돌일위집계"/>
      <sheetName val="HANDHOLE(2)"/>
      <sheetName val="PAD TR보호대기초"/>
      <sheetName val="가로등기초"/>
      <sheetName val="집계표(OPTION)"/>
      <sheetName val="Master_Data"/>
      <sheetName val="철근단위중량"/>
      <sheetName val="C1"/>
      <sheetName val="배명(단가)"/>
      <sheetName val="TANK"/>
      <sheetName val="단면가정"/>
      <sheetName val="설계조건"/>
      <sheetName val="LTR-2"/>
      <sheetName val="DRUM"/>
      <sheetName val="Utility and Fire flange"/>
      <sheetName val="sum1 (2)"/>
      <sheetName val="s"/>
      <sheetName val="대비"/>
      <sheetName val="SILICATE"/>
      <sheetName val="General Data"/>
      <sheetName val="L V Separator"/>
      <sheetName val="Eq. Mobilization"/>
      <sheetName val="PI"/>
      <sheetName val="부하(성남)"/>
      <sheetName val="8.PILE  (돌출)"/>
      <sheetName val="CTEMCOST"/>
      <sheetName val="Default"/>
      <sheetName val="소화실적"/>
      <sheetName val="노임단가"/>
      <sheetName val="IBASE"/>
      <sheetName val="SCHEDULE"/>
      <sheetName val="bldg list"/>
      <sheetName val="MTO REV.2(ARMOR)"/>
      <sheetName val="Steel-Main Work"/>
      <sheetName val="parts-V2"/>
      <sheetName val="전기"/>
      <sheetName val="ABB"/>
      <sheetName val="MK2-1"/>
      <sheetName val="C-301E~305E"/>
      <sheetName val="계수시트"/>
      <sheetName val="M3산출"/>
      <sheetName val="SM1-09"/>
      <sheetName val="SM2-09"/>
      <sheetName val="BAND(200)"/>
      <sheetName val="BD-09"/>
      <sheetName val="EL 표면적"/>
      <sheetName val="MT-09"/>
      <sheetName val="980731"/>
      <sheetName val="실행철강하도"/>
      <sheetName val="jobhist"/>
      <sheetName val="초임연봉"/>
      <sheetName val="시가지우회도로공내역서"/>
      <sheetName val="15100"/>
      <sheetName val="DATE"/>
      <sheetName val="TOTAL"/>
      <sheetName val="Proj Cost Sumry"/>
      <sheetName val="Wt of Mod."/>
      <sheetName val="BM"/>
      <sheetName val="D2old"/>
      <sheetName val="D2"/>
      <sheetName val="D1.1"/>
      <sheetName val="Library"/>
      <sheetName val="D1X"/>
      <sheetName val="D2X"/>
      <sheetName val="D2.1"/>
      <sheetName val="Checklist"/>
      <sheetName val="D4"/>
      <sheetName val="Administrative Prices"/>
      <sheetName val="Summary"/>
      <sheetName val="Valve Cl"/>
      <sheetName val="CODE-STR"/>
      <sheetName val="FLUID_INFO"/>
      <sheetName val="PERLITE"/>
      <sheetName val="MTO"/>
      <sheetName val="INNER TANK"/>
      <sheetName val="Codes,..."/>
      <sheetName val="DATA_DRAWING"/>
      <sheetName val="INNER TANK SEISMIC"/>
      <sheetName val="MATERIALS"/>
      <sheetName val="IPE"/>
      <sheetName val="GENERALITY"/>
      <sheetName val="Air Cooler-E"/>
      <sheetName val="1) COMMON FACILITIES"/>
      <sheetName val="Form 6"/>
      <sheetName val="영업소실적"/>
      <sheetName val="eq_data"/>
      <sheetName val="Sheet4"/>
      <sheetName val="2-Conc"/>
      <sheetName val="2000년1차"/>
      <sheetName val="Bid Summary"/>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Rates2001"/>
      <sheetName val="DWR(Priced)"/>
      <sheetName val=" AnalysisPCC"/>
      <sheetName val=" AnalysisNH"/>
      <sheetName val="Estimates"/>
      <sheetName val="Labour _ Plant"/>
      <sheetName val="Analysis"/>
      <sheetName val="05"/>
      <sheetName val="ANAL"/>
      <sheetName val="ANNEXURE-A"/>
      <sheetName val="Mix Design"/>
      <sheetName val="Steel-Circular"/>
      <sheetName val="gen"/>
      <sheetName val="REL"/>
      <sheetName val="COLUMN"/>
      <sheetName val="loadcal"/>
      <sheetName val="PROCTOR"/>
      <sheetName val="Summary"/>
      <sheetName val="concrete"/>
      <sheetName val="Electrical"/>
      <sheetName val="Voucher"/>
      <sheetName val="horizontal"/>
      <sheetName val="Site Dev BOQ"/>
      <sheetName val="Cal"/>
      <sheetName val="Data"/>
      <sheetName val="INPUT SHEET"/>
      <sheetName val="Basement Budget"/>
      <sheetName val="Extra Item"/>
      <sheetName val="RES-PLANNING"/>
      <sheetName val="Lead"/>
      <sheetName val="Intro"/>
      <sheetName val="Break up Sheet"/>
      <sheetName val="Headings"/>
      <sheetName val="Sheet2 (2)"/>
      <sheetName val="Basicrates"/>
      <sheetName val="BOQ-Part1"/>
      <sheetName val="Rate Analysis"/>
      <sheetName val="Back_Cal_for OMC"/>
      <sheetName val="Detail"/>
      <sheetName val="CFForecast detail"/>
      <sheetName val="Pay_Sep06"/>
      <sheetName val="IO LIST"/>
      <sheetName val="Fill this out first..."/>
      <sheetName val="Formula"/>
      <sheetName val="sq ftg detail"/>
      <sheetName val="lookup"/>
      <sheetName val="Hotel Info Input"/>
      <sheetName val="BM_SF"/>
      <sheetName val="basdat"/>
      <sheetName val="Vehicles"/>
      <sheetName val="strand"/>
      <sheetName val="Comparative"/>
      <sheetName val="Quotation"/>
      <sheetName val="sqn_ldr_3 Unit_2_"/>
      <sheetName val="girder"/>
      <sheetName val="OHT_Abs"/>
      <sheetName val="Retainingwall_f"/>
      <sheetName val="Materials Cost"/>
      <sheetName val="basic-data"/>
      <sheetName val="mem-property"/>
      <sheetName val="Basic Resources"/>
      <sheetName val="factors"/>
      <sheetName val="PROG_DATA"/>
      <sheetName val="Approved MTD Proj #'s"/>
      <sheetName val="ABB"/>
      <sheetName val="Estimate"/>
      <sheetName val="Basic Rates"/>
      <sheetName val="entitlements"/>
      <sheetName val="Material_"/>
      <sheetName val="Labour___Plant"/>
      <sheetName val="Labour_&amp;_Plant"/>
      <sheetName val="_Analysis"/>
      <sheetName val="BOQ_"/>
      <sheetName val="Priced_DWR_"/>
      <sheetName val="_AnalysisPCC"/>
      <sheetName val="_AnalysisNH"/>
      <sheetName val="Mix_Design"/>
      <sheetName val="Rate_Analysis"/>
      <sheetName val="Site_Dev_BOQ"/>
      <sheetName val="INPUT_SHEET"/>
      <sheetName val="Basement_Budget"/>
      <sheetName val="Extra_Item"/>
      <sheetName val="Break_up_Sheet"/>
      <sheetName val="Rocker"/>
      <sheetName val="1.Civil-RA"/>
      <sheetName val="mem_property"/>
      <sheetName val="basic_data"/>
      <sheetName val="conc-foot-gradeslab"/>
      <sheetName val="maingirder"/>
      <sheetName val="Tubi"/>
      <sheetName val="BHANDUP"/>
      <sheetName val="FORM-W3"/>
      <sheetName val="Lead Statement"/>
      <sheetName val="12"/>
      <sheetName val="8"/>
      <sheetName val="70R"/>
      <sheetName val="BOQ_M5"/>
    </sheetNames>
    <sheetDataSet>
      <sheetData sheetId="0" refreshError="1">
        <row r="14">
          <cell r="C14">
            <v>140</v>
          </cell>
        </row>
        <row r="15">
          <cell r="C15">
            <v>110</v>
          </cell>
        </row>
      </sheetData>
      <sheetData sheetId="1" refreshError="1">
        <row r="14">
          <cell r="C14">
            <v>140</v>
          </cell>
        </row>
        <row r="30">
          <cell r="G30">
            <v>710</v>
          </cell>
        </row>
        <row r="31">
          <cell r="G31">
            <v>24</v>
          </cell>
        </row>
        <row r="40">
          <cell r="G40">
            <v>10</v>
          </cell>
        </row>
        <row r="48">
          <cell r="G48">
            <v>3500</v>
          </cell>
        </row>
        <row r="49">
          <cell r="G49">
            <v>790</v>
          </cell>
        </row>
        <row r="50">
          <cell r="G50">
            <v>609</v>
          </cell>
        </row>
        <row r="51">
          <cell r="G51">
            <v>18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14">
          <cell r="C14">
            <v>140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SHL"/>
      <sheetName val="LinerWt"/>
      <sheetName val="총괄표"/>
      <sheetName val="POWER"/>
      <sheetName val="Plan"/>
      <sheetName val="산근"/>
      <sheetName val="CAT_5"/>
      <sheetName val="SG"/>
      <sheetName val="INSTR"/>
      <sheetName val="일위대가"/>
      <sheetName val="도"/>
      <sheetName val="TTL"/>
      <sheetName val="기계내역서"/>
      <sheetName val="DESIGN"/>
      <sheetName val="OCT.FDN"/>
      <sheetName val="12CGOU"/>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Input"/>
      <sheetName val="Activity"/>
      <sheetName val="Crew"/>
      <sheetName val="Piping"/>
      <sheetName val="Pipe Supports"/>
      <sheetName val="VXXXXX"/>
      <sheetName val="인원계획"/>
      <sheetName val="boq"/>
      <sheetName val="CST_STAT"/>
      <sheetName val="EQT-ESTN"/>
      <sheetName val="당진1,2호기전선관설치및접지4차공사내역서-을지"/>
      <sheetName val="FILTER"/>
      <sheetName val="3. GROUNDING SYSTEM"/>
      <sheetName val="공조위생"/>
      <sheetName val="blk"/>
      <sheetName val="Sheet3"/>
      <sheetName val="Process Piping"/>
      <sheetName val="Cash2"/>
      <sheetName val="Z"/>
      <sheetName val="기준"/>
      <sheetName val="대비표"/>
      <sheetName val="EQUIP LIST"/>
      <sheetName val="일위대가표"/>
      <sheetName val="집계표"/>
      <sheetName val="노임9월"/>
      <sheetName val="WORK-VOL"/>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Material and Manpower data"/>
      <sheetName val="Pricing Summary"/>
      <sheetName val="단가"/>
      <sheetName val="실행내역"/>
      <sheetName val="rate"/>
      <sheetName val="9_Material Rates"/>
      <sheetName val="1_References"/>
      <sheetName val="갑지1"/>
      <sheetName val="P-HOT.XLS"/>
      <sheetName val="현장지지물물량"/>
      <sheetName val="steam table"/>
      <sheetName val="B"/>
      <sheetName val="PRO_DCI"/>
      <sheetName val="INST_DCI"/>
      <sheetName val="HVAC_DCI"/>
      <sheetName val="PIPE_DCI"/>
      <sheetName val="Code"/>
      <sheetName val="조명시설"/>
      <sheetName val="SKETCH"/>
      <sheetName val="내역서"/>
      <sheetName val="PROCURE"/>
      <sheetName val="금액내역서"/>
      <sheetName val="2.2 STAFF Scedule"/>
      <sheetName val="BQMPALOC"/>
      <sheetName val="환율"/>
      <sheetName val="CONTENTS"/>
      <sheetName val="CALCULATION"/>
      <sheetName val="Rate Analysis"/>
      <sheetName val="WORK"/>
      <sheetName val="HORI. VESSEL"/>
      <sheetName val="BQ"/>
      <sheetName val="@PRICE1"/>
      <sheetName val="최종단가"/>
      <sheetName val="#REF"/>
      <sheetName val="토목품셈"/>
      <sheetName val="입출재고현황 (2)"/>
      <sheetName val="AREA"/>
      <sheetName val="바닥판"/>
      <sheetName val="TYPE1"/>
      <sheetName val="철근량"/>
      <sheetName val="토목주소"/>
      <sheetName val="프랜트면허"/>
      <sheetName val="역T형"/>
      <sheetName val="PILE"/>
      <sheetName val="장비"/>
      <sheetName val="노무"/>
      <sheetName val="자재"/>
      <sheetName val="산근1"/>
      <sheetName val="insulation"/>
      <sheetName val="Sheet5"/>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Quantity"/>
      <sheetName val="내역"/>
      <sheetName val="초기화면"/>
      <sheetName val="95삼성급(본사)"/>
      <sheetName val="Sheet1"/>
      <sheetName val="Inst Matl Table"/>
      <sheetName val="Inst_Type"/>
      <sheetName val="Loop Type"/>
      <sheetName val="Tracing"/>
      <sheetName val="Hookup"/>
      <sheetName val="WBS"/>
      <sheetName val="Civil"/>
      <sheetName val="DB@Acess"/>
      <sheetName val="재료비"/>
      <sheetName val="경비"/>
      <sheetName val="Code_Magics"/>
      <sheetName val="MP MOB"/>
      <sheetName val="97 사업추정(WEKI)"/>
      <sheetName val="GROUNDING SYSTEM"/>
      <sheetName val="El(Increased)"/>
      <sheetName val="General Data"/>
      <sheetName val="공사비예산서(토목분)"/>
      <sheetName val="가격조사서"/>
      <sheetName val="연돌일위집계"/>
      <sheetName val="HANDHOLE(2)"/>
      <sheetName val="PAD TR보호대기초"/>
      <sheetName val="가로등기초"/>
      <sheetName val="찍기"/>
      <sheetName val="TABLES"/>
      <sheetName val="공사내역"/>
      <sheetName val="D-3109"/>
      <sheetName val="당초"/>
      <sheetName val="GiaVL"/>
      <sheetName val="Master_Data"/>
      <sheetName val="DRUM"/>
      <sheetName val="1. 설계조건 2.단면가정 3. 하중계산"/>
      <sheetName val="DATA 입력란"/>
      <sheetName val="집계표(OPTION)"/>
      <sheetName val="배명(단가)"/>
      <sheetName val="TANK"/>
      <sheetName val="단면가정"/>
      <sheetName val="설계조건"/>
      <sheetName val="LTR-2"/>
      <sheetName val="견적"/>
      <sheetName val="Car park lease"/>
      <sheetName val="sum1 (2)"/>
      <sheetName val="s"/>
      <sheetName val="대비"/>
      <sheetName val="C1"/>
      <sheetName val="SILICATE"/>
      <sheetName val="철근단위중량"/>
      <sheetName val="Utility and Fire flange"/>
      <sheetName val="8.PILE  (돌출)"/>
      <sheetName val="CTEMCOST"/>
      <sheetName val="노임단가"/>
      <sheetName val="계수시트"/>
      <sheetName val="실행철강하도"/>
      <sheetName val="소화실적"/>
      <sheetName val="SCHEDULE"/>
      <sheetName val="bldg list"/>
      <sheetName val="Steel-Main Work"/>
      <sheetName val="MTO REV.2(ARMOR)"/>
      <sheetName val="parts-V2"/>
      <sheetName val="L V Separator"/>
      <sheetName val="Eq. Mobilization"/>
      <sheetName val="PI"/>
      <sheetName val="부하(성남)"/>
      <sheetName val="Default"/>
      <sheetName val="IBASE"/>
      <sheetName val="전기"/>
      <sheetName val="ABB"/>
      <sheetName val="MK2-1"/>
      <sheetName val="C-301E~305E"/>
      <sheetName val="DATE"/>
      <sheetName val="영업소실적"/>
      <sheetName val="시가지우회도로공내역서"/>
      <sheetName val="초임연봉"/>
      <sheetName val="TOTAL"/>
      <sheetName val="jobhist"/>
      <sheetName val="D2old"/>
      <sheetName val="D2"/>
      <sheetName val="D1.1"/>
      <sheetName val="Library"/>
      <sheetName val="D1X"/>
      <sheetName val="D2X"/>
      <sheetName val="D2.1"/>
      <sheetName val="Checklist"/>
      <sheetName val="D4"/>
      <sheetName val="Administrative Prices"/>
      <sheetName val="Summary"/>
      <sheetName val="Proj Cost Sumry"/>
      <sheetName val="Wt of Mod."/>
      <sheetName val="Sheet4"/>
      <sheetName val="BM"/>
      <sheetName val="Engineering"/>
      <sheetName val="M3산출"/>
      <sheetName val="SM1-09"/>
      <sheetName val="SM2-09"/>
      <sheetName val="BAND(200)"/>
      <sheetName val="BD-09"/>
      <sheetName val="EL 표면적"/>
      <sheetName val="MT-09"/>
      <sheetName val="980731"/>
      <sheetName val="날개벽(좌,우=60도-4개)"/>
      <sheetName val="PriceSummary"/>
      <sheetName val="2000년1차"/>
      <sheetName val="Bid Summary"/>
      <sheetName val="15100"/>
      <sheetName val="eq_data"/>
      <sheetName val="토공정보"/>
      <sheetName val="두앙"/>
      <sheetName val="2"/>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EAS"/>
      <sheetName val="CASH"/>
      <sheetName val="장비검사 사진"/>
      <sheetName val="SPEC"/>
      <sheetName val="Air Cooler-E"/>
      <sheetName val="MEXICO-C"/>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골조시행"/>
      <sheetName val="2-Conc"/>
      <sheetName val="dc1"/>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기성내역"/>
      <sheetName val="Ex-Rate"/>
      <sheetName val="HX"/>
      <sheetName val="백분율"/>
      <sheetName val="DHEQSUPT"/>
      <sheetName val="업무분장"/>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Insts"/>
      <sheetName val="118.세금과공과"/>
      <sheetName val="108.수선비"/>
      <sheetName val="KUNGDEVI"/>
      <sheetName val="부대공Ⅱ"/>
      <sheetName val="12월 수선비 사용실적"/>
      <sheetName val="Based Data_WACC"/>
      <sheetName val="일위(PN)"/>
      <sheetName val="PIPE(UG)내역"/>
      <sheetName val="CRITERIA"/>
      <sheetName val="1.설계조건"/>
      <sheetName val="Benchmark"/>
      <sheetName val="PKG &quot;A&quot; Detail - 정풍"/>
      <sheetName val="근로자명부"/>
      <sheetName val="입찰안"/>
      <sheetName val="영동(D)"/>
      <sheetName val="ANALISA"/>
      <sheetName val="M 11"/>
      <sheetName val="nde_request"/>
      <sheetName val="공문"/>
      <sheetName val="h_013211_2"/>
      <sheetName val="terdistribusi"/>
      <sheetName val="sum3"/>
      <sheetName val="CBF-Boş"/>
      <sheetName val="PRICES"/>
      <sheetName val="DB3"/>
      <sheetName val="Readiness"/>
      <sheetName val="EL_표면적"/>
      <sheetName val="Bid_Summary"/>
      <sheetName val="장비검사_사진"/>
      <sheetName val="backup"/>
      <sheetName val="Part A"/>
      <sheetName val="Part B"/>
      <sheetName val="Part C"/>
      <sheetName val="COVERSHEET"/>
      <sheetName val="견적총괄표"/>
      <sheetName val="교각계산"/>
      <sheetName val="예산M11A"/>
      <sheetName val="부표총괄"/>
      <sheetName val="품셈1-26"/>
      <sheetName val="Attach 4-18"/>
      <sheetName val="주관사업"/>
      <sheetName val="요약배부"/>
      <sheetName val=" 표지"/>
      <sheetName val="Valve Cl"/>
      <sheetName val="CODE-STR"/>
      <sheetName val="FLUID_INFO"/>
      <sheetName val="날개벽"/>
      <sheetName val="Param"/>
      <sheetName val="EQUIPMENT -2"/>
      <sheetName val="R01 p1"/>
      <sheetName val="Page 2"/>
      <sheetName val="Coeff"/>
      <sheetName val="Subcon TR"/>
      <sheetName val="Material_TR"/>
      <sheetName val="PRO_A"/>
      <sheetName val="DWG"/>
      <sheetName val="ELEC_MCI"/>
      <sheetName val="MAIN"/>
      <sheetName val="INST_MCI"/>
      <sheetName val="MECH_MCI"/>
      <sheetName val="PRO"/>
      <sheetName val="상반기손익차2총괄"/>
      <sheetName val="Proposal"/>
      <sheetName val="Malaysia incl. RET"/>
      <sheetName val="pipeline-1"/>
      <sheetName val="Paint Mat Summ"/>
      <sheetName val="Summary_Sheets5"/>
      <sheetName val="OCT_FDN5"/>
      <sheetName val="Pipe_Supports5"/>
      <sheetName val="Process_Piping5"/>
      <sheetName val="EQUIP_LIST5"/>
      <sheetName val="9_Material_Rates5"/>
      <sheetName val="3__GROUNDING_SYSTEM5"/>
      <sheetName val="Material_and_Manpower_data5"/>
      <sheetName val="Pricing_Summary5"/>
      <sheetName val="P-HOT_XLS5"/>
      <sheetName val="Alum_5"/>
      <sheetName val="steam_table5"/>
      <sheetName val="2_2_STAFF_Scedule5"/>
      <sheetName val="Civil_15"/>
      <sheetName val="Civil_25"/>
      <sheetName val="Civil_35"/>
      <sheetName val="Site_15"/>
      <sheetName val="Site_25"/>
      <sheetName val="Site_35"/>
      <sheetName val="Site_Faci5"/>
      <sheetName val="Rate_Analysis5"/>
      <sheetName val="HORI__VESSEL5"/>
      <sheetName val="입출재고현황_(2)5"/>
      <sheetName val="Man_Hole5"/>
      <sheetName val="Inst_Matl_Table5"/>
      <sheetName val="Loop_Type5"/>
      <sheetName val="MP_MOB5"/>
      <sheetName val="1__설계조건_2_단면가정_3__하중계산5"/>
      <sheetName val="DATA_입력란5"/>
      <sheetName val="GROUNDING_SYSTEM5"/>
      <sheetName val="General_Data5"/>
      <sheetName val="97_사업추정(WEKI)5"/>
      <sheetName val="Car_park_lease5"/>
      <sheetName val="sum1_(2)5"/>
      <sheetName val="PAD_TR보호대기초5"/>
      <sheetName val="Utility_and_Fire_flange5"/>
      <sheetName val="8_PILE__(돌출)3"/>
      <sheetName val="bldg_list2"/>
      <sheetName val="L_V_Separator2"/>
      <sheetName val="Eq__Mobilization2"/>
      <sheetName val="MTO_REV_2(ARMOR)1"/>
      <sheetName val="Steel-Main_Work1"/>
      <sheetName val="Proj_Cost_Sumry1"/>
      <sheetName val="Wt_of_Mod_1"/>
      <sheetName val="D1_11"/>
      <sheetName val="D2_11"/>
      <sheetName val="Administrative_Prices1"/>
      <sheetName val="Air_Cooler-E"/>
      <sheetName val="SOS_PLC_&amp;_Panel"/>
      <sheetName val="중간재_재공"/>
      <sheetName val="static_cal"/>
      <sheetName val="EXT_CHECK"/>
      <sheetName val=""/>
      <sheetName val="G2설비도급"/>
      <sheetName val="갑지(추정)"/>
      <sheetName val="CSR"/>
      <sheetName val="FORM-0"/>
      <sheetName val="의왕"/>
      <sheetName val="HP"/>
      <sheetName val="118_세금과공과"/>
      <sheetName val="108_수선비"/>
      <sheetName val="12월_수선비_사용실적"/>
      <sheetName val="Based_Data_WACC"/>
      <sheetName val="1_설계조건"/>
      <sheetName val="M_11"/>
      <sheetName val="7. Aeration Tanks (ATV)"/>
      <sheetName val="8. Aeration"/>
      <sheetName val="1. Project Base"/>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ID"/>
      <sheetName val="p9work"/>
      <sheetName val="Subcon A"/>
      <sheetName val="Subcon_A"/>
      <sheetName val="Land Dev't. Ph-1"/>
      <sheetName val="Hac.Lots"/>
      <sheetName val="4-Lane bridge"/>
      <sheetName val="Res.Lots"/>
      <sheetName val="Spine Road"/>
      <sheetName val="MANP"/>
      <sheetName val="石炭性状"/>
      <sheetName val="float&amp;bear"/>
      <sheetName val="Kfracture"/>
      <sheetName val="F4-F7"/>
      <sheetName val="SP10"/>
      <sheetName val="E"/>
      <sheetName val="M-EQPT-Z"/>
      <sheetName val="salary"/>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EL_표면적1"/>
      <sheetName val="Bid_Summary1"/>
      <sheetName val="장비검사_사진1"/>
      <sheetName val="12월_수선비_사용실적1"/>
      <sheetName val="Based_Data_WACC1"/>
      <sheetName val="노임이"/>
      <sheetName val="Wind"/>
      <sheetName val="BLR 1"/>
      <sheetName val="GEN"/>
      <sheetName val="GAS"/>
      <sheetName val="DEAE"/>
      <sheetName val="BLR2"/>
      <sheetName val="BLR3"/>
      <sheetName val="BLR4"/>
      <sheetName val="BLR5"/>
      <sheetName val="DEM"/>
      <sheetName val="SAM"/>
      <sheetName val="CHEM"/>
      <sheetName val="COP"/>
      <sheetName val="1"/>
      <sheetName val="H.Satuan"/>
      <sheetName val="HOURS INDEX"/>
      <sheetName val="RATE INDEX"/>
      <sheetName val="EST-1"/>
      <sheetName val="upah bahan"/>
      <sheetName val="ana"/>
      <sheetName val="SEX"/>
      <sheetName val="Civ⁩l_24"/>
      <sheetName val="CRITERI⁁"/>
      <sheetName val="RefG"/>
      <sheetName val="IRR sponsor"/>
      <sheetName val="Fact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A &amp; B"/>
      <sheetName val="Manpower List-1"/>
      <sheetName val="DAILY"/>
      <sheetName val="Index Daily Alloaction"/>
      <sheetName val="SUMMARY FOR DPR"/>
      <sheetName val="Manpower List"/>
      <sheetName val="Feuil3"/>
      <sheetName val="Project Brief"/>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G.R300경비"/>
      <sheetName val="concrete"/>
      <sheetName val="beam-reinft-IIInd floor"/>
      <sheetName val="COLUMN"/>
      <sheetName val="Form 6"/>
      <sheetName val="PIPE"/>
      <sheetName val="FLANGE"/>
      <sheetName val="VALVE"/>
      <sheetName val="M"/>
      <sheetName val="4121"/>
      <sheetName val="견적금액(2003.12.22)"/>
      <sheetName val="45,46"/>
      <sheetName val="ORIGN"/>
      <sheetName val="OS"/>
      <sheetName val="Applications"/>
      <sheetName val="직무명&amp;직무코드"/>
      <sheetName val="PW3"/>
      <sheetName val="PW4"/>
      <sheetName val="SC1"/>
      <sheetName val="공사원가"/>
      <sheetName val="General"/>
      <sheetName val="Tubi"/>
      <sheetName val="final abstract"/>
      <sheetName val="Material "/>
      <sheetName val="Labour &amp; Plant"/>
      <sheetName val="Curves"/>
      <sheetName val="Note"/>
      <sheetName val="Heads"/>
      <sheetName val="Dbase"/>
      <sheetName val="Material Standards"/>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Defn"/>
      <sheetName val="Pipe Sizes"/>
      <sheetName val="EQUIVALENT LENGTH"/>
      <sheetName val="Estimate-Cold"/>
      <sheetName val="data_dci"/>
      <sheetName val="data_mci"/>
      <sheetName val="behind"/>
      <sheetName val="cpvl"/>
      <sheetName val="CHITIET-DZ04"/>
      <sheetName val="타견적(을)"/>
      <sheetName val="PRICE-COMP"/>
      <sheetName val="an. struktur"/>
      <sheetName val="harsat"/>
      <sheetName val="Dashboard"/>
      <sheetName val="BP"/>
      <sheetName val="BOQ for HRSG &amp; BOP-mech."/>
      <sheetName val="Customize Your Invoice"/>
      <sheetName val="CD-실적"/>
      <sheetName val="BW"/>
      <sheetName val="6호기"/>
      <sheetName val="MIJIBI"/>
      <sheetName val="HRSG SMALL07220"/>
      <sheetName val="9-1차이내역"/>
      <sheetName val="Ummantelung"/>
      <sheetName val=" Armaflex "/>
      <sheetName val="Drahtnetzmatte"/>
      <sheetName val="   Basis-Kalk.   "/>
      <sheetName val="MW-Schale, alukasch."/>
      <sheetName val="UK, Kleinmaterial"/>
      <sheetName val="PUR, FOAMGLAS"/>
      <sheetName val="Cashflow Analysis"/>
      <sheetName val="derive"/>
      <sheetName val="DESBASTE"/>
      <sheetName val="List Equip"/>
      <sheetName val="MatCost"/>
      <sheetName val="Process C (1-166)"/>
      <sheetName val="チューブ仕様"/>
      <sheetName val="예총"/>
      <sheetName val="Schedule S-Curve Revision#3"/>
      <sheetName val="TOSHIBA-Structure"/>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PROG."/>
      <sheetName val="LANGUAGE"/>
      <sheetName val="PART_DISCOUNT"/>
      <sheetName val="Bag_1"/>
      <sheetName val="DAFTAR 7"/>
      <sheetName val="DAF_1"/>
      <sheetName val="DAFTAR_8"/>
      <sheetName val="Rekap Direct Cost"/>
      <sheetName val="Rekap Prelim"/>
      <sheetName val="DAFTAR_7"/>
      <sheetName val="Rekap_Direct_Cost"/>
      <sheetName val="Rekap_Preli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sheetData sheetId="535"/>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refreshError="1"/>
      <sheetData sheetId="627" refreshError="1"/>
      <sheetData sheetId="628" refreshError="1"/>
      <sheetData sheetId="629" refreshError="1"/>
      <sheetData sheetId="630" refreshError="1"/>
      <sheetData sheetId="631" refreshError="1"/>
      <sheetData sheetId="632"/>
      <sheetData sheetId="633"/>
      <sheetData sheetId="634"/>
      <sheetData sheetId="635"/>
      <sheetData sheetId="636"/>
      <sheetData sheetId="637"/>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sheetData sheetId="649"/>
      <sheetData sheetId="650"/>
      <sheetData sheetId="651"/>
      <sheetData sheetId="652"/>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refreshError="1"/>
      <sheetData sheetId="760" refreshError="1"/>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sheetData sheetId="814"/>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sheetData sheetId="936"/>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sheetData sheetId="996"/>
      <sheetData sheetId="997"/>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
      <sheetName val="XXXX0"/>
      <sheetName val="Site Report"/>
      <sheetName val="BASIC"/>
      <sheetName val="DESIGN MIX"/>
      <sheetName val="MISC"/>
      <sheetName val="ANALYSIS"/>
      <sheetName val="BOQ"/>
      <sheetName val="P&amp;E"/>
      <sheetName val="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CODE"/>
      <sheetName val="OLDCODE.XLS"/>
      <sheetName val="Sheet3"/>
      <sheetName val="valve data"/>
      <sheetName val="MTO"/>
      <sheetName val="TTL"/>
    </sheetNames>
    <definedNames>
      <definedName name="CreateRangeName"/>
      <definedName name="DropDown18_Change"/>
      <definedName name="ListBox13_Change"/>
      <definedName name="OptionButton20_Click"/>
      <definedName name="OptionButton21_Click"/>
      <definedName name="OptionButton23_Click"/>
      <definedName name="OptionButton24_Click"/>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
      <sheetName val="Pit-1"/>
      <sheetName val="Back_Cal_for OMC"/>
      <sheetName val="OMC_Gr"/>
      <sheetName val="Back_Cal_for CBR"/>
      <sheetName val="CBR_Graph Test_I"/>
      <sheetName val="CBR_Graph Test_II"/>
      <sheetName val="CBR_Graph Test_III"/>
      <sheetName val="Sheet1"/>
      <sheetName val="Sheet2"/>
      <sheetName val="Sheet3"/>
      <sheetName val="37000-54000"/>
    </sheetNames>
    <sheetDataSet>
      <sheetData sheetId="0" refreshError="1"/>
      <sheetData sheetId="1" refreshError="1"/>
      <sheetData sheetId="2" refreshError="1">
        <row r="15">
          <cell r="A15" t="str">
            <v>A</v>
          </cell>
          <cell r="B15">
            <v>13.744999999999999</v>
          </cell>
        </row>
        <row r="16">
          <cell r="A16" t="str">
            <v>B</v>
          </cell>
          <cell r="B16">
            <v>13.507</v>
          </cell>
        </row>
        <row r="17">
          <cell r="A17" t="str">
            <v>C</v>
          </cell>
          <cell r="B17">
            <v>13.96</v>
          </cell>
        </row>
        <row r="18">
          <cell r="A18" t="str">
            <v>D</v>
          </cell>
          <cell r="B18">
            <v>13.38</v>
          </cell>
        </row>
        <row r="19">
          <cell r="A19" t="str">
            <v>E</v>
          </cell>
          <cell r="B19">
            <v>13.706</v>
          </cell>
        </row>
        <row r="20">
          <cell r="A20" t="str">
            <v>F</v>
          </cell>
          <cell r="B20">
            <v>14.08</v>
          </cell>
        </row>
        <row r="21">
          <cell r="A21" t="str">
            <v>G</v>
          </cell>
          <cell r="B21">
            <v>14.257999999999999</v>
          </cell>
        </row>
        <row r="22">
          <cell r="A22" t="str">
            <v>H</v>
          </cell>
          <cell r="B22">
            <v>14.323</v>
          </cell>
        </row>
        <row r="23">
          <cell r="A23" t="str">
            <v>I</v>
          </cell>
          <cell r="B23">
            <v>13.295</v>
          </cell>
        </row>
        <row r="24">
          <cell r="A24" t="str">
            <v>J</v>
          </cell>
          <cell r="B24">
            <v>14.162000000000001</v>
          </cell>
        </row>
        <row r="25">
          <cell r="A25" t="str">
            <v>K</v>
          </cell>
          <cell r="B25">
            <v>14.525</v>
          </cell>
        </row>
        <row r="26">
          <cell r="A26" t="str">
            <v>L</v>
          </cell>
          <cell r="B26">
            <v>14.164999999999999</v>
          </cell>
        </row>
        <row r="27">
          <cell r="A27" t="str">
            <v>M</v>
          </cell>
          <cell r="B27">
            <v>13.677</v>
          </cell>
        </row>
        <row r="28">
          <cell r="A28" t="str">
            <v>N</v>
          </cell>
          <cell r="B28">
            <v>14.14</v>
          </cell>
        </row>
        <row r="29">
          <cell r="A29" t="str">
            <v>O</v>
          </cell>
          <cell r="B29">
            <v>13.522</v>
          </cell>
        </row>
        <row r="30">
          <cell r="A30" t="str">
            <v>P</v>
          </cell>
          <cell r="B30">
            <v>14.285</v>
          </cell>
        </row>
        <row r="31">
          <cell r="A31" t="str">
            <v>Q</v>
          </cell>
          <cell r="B31">
            <v>13.08</v>
          </cell>
        </row>
        <row r="32">
          <cell r="A32" t="str">
            <v>R</v>
          </cell>
          <cell r="B32">
            <v>13.24</v>
          </cell>
        </row>
        <row r="33">
          <cell r="A33" t="str">
            <v>S</v>
          </cell>
          <cell r="B33">
            <v>14.085000000000001</v>
          </cell>
        </row>
        <row r="34">
          <cell r="A34" t="str">
            <v>T</v>
          </cell>
          <cell r="B34">
            <v>13.483000000000001</v>
          </cell>
        </row>
        <row r="35">
          <cell r="A35" t="str">
            <v>U</v>
          </cell>
          <cell r="B35">
            <v>13.795</v>
          </cell>
        </row>
        <row r="36">
          <cell r="A36" t="str">
            <v>V</v>
          </cell>
          <cell r="B36">
            <v>14.055</v>
          </cell>
        </row>
        <row r="37">
          <cell r="A37" t="str">
            <v>W</v>
          </cell>
          <cell r="B37">
            <v>13.35</v>
          </cell>
        </row>
        <row r="38">
          <cell r="A38" t="str">
            <v>X</v>
          </cell>
          <cell r="B38">
            <v>12.86</v>
          </cell>
        </row>
        <row r="39">
          <cell r="A39" t="str">
            <v>Y</v>
          </cell>
          <cell r="B39">
            <v>15.565</v>
          </cell>
        </row>
        <row r="40">
          <cell r="A40" t="str">
            <v>Z</v>
          </cell>
          <cell r="B40">
            <v>12.79</v>
          </cell>
        </row>
        <row r="42">
          <cell r="A42" t="str">
            <v>A</v>
          </cell>
          <cell r="B42">
            <v>2525</v>
          </cell>
        </row>
        <row r="43">
          <cell r="A43" t="str">
            <v>B</v>
          </cell>
          <cell r="B43">
            <v>3845</v>
          </cell>
        </row>
        <row r="44">
          <cell r="A44" t="str">
            <v>C</v>
          </cell>
          <cell r="B44">
            <v>3835</v>
          </cell>
        </row>
        <row r="45">
          <cell r="A45" t="str">
            <v>D</v>
          </cell>
          <cell r="B45">
            <v>3840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dat"/>
      <sheetName val="deckl"/>
      <sheetName val="Sheet3"/>
      <sheetName val="Sheet2"/>
      <sheetName val="Sheet1"/>
      <sheetName val="SKETCH"/>
      <sheetName val="SupSec-outer"/>
      <sheetName val="MidSec-Outer"/>
      <sheetName val="MidSect-Outer"/>
      <sheetName val="Endcross"/>
      <sheetName val="Intcross"/>
      <sheetName val="deck(0.625)"/>
      <sheetName val="deck(1.335)"/>
      <sheetName val="deck(2.045)"/>
      <sheetName val="deck(2.675)"/>
      <sheetName val="Dead Load"/>
      <sheetName val="DL"/>
      <sheetName val="WC"/>
      <sheetName val="1.25"/>
      <sheetName val="0.4688"/>
      <sheetName val="0.78125"/>
      <sheetName val="0.65"/>
      <sheetName val="0.625"/>
      <sheetName val="data"/>
    </sheetNames>
    <sheetDataSet>
      <sheetData sheetId="0">
        <row r="15">
          <cell r="D15">
            <v>6</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toOpen Stub Data"/>
      <sheetName val="Design"/>
      <sheetName val="Guidelines"/>
      <sheetName val="MTL(AG)"/>
      <sheetName val="VLOOKUP"/>
      <sheetName val="cal-foamglass"/>
      <sheetName val="GN-ST-06(2)(Design Sheet-Ruled)"/>
      <sheetName val="FORM7"/>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ry"/>
      <sheetName val="DETAILED ENGG PROG"/>
      <sheetName val="VLOOKUP"/>
      <sheetName val="cal-foamglass"/>
      <sheetName val="Design"/>
    </sheetNames>
    <sheetDataSet>
      <sheetData sheetId="0">
        <row r="4">
          <cell r="B4">
            <v>9.81</v>
          </cell>
        </row>
      </sheetData>
      <sheetData sheetId="1" refreshError="1"/>
      <sheetData sheetId="2" refreshError="1"/>
      <sheetData sheetId="3" refreshError="1"/>
      <sheetData sheetId="4"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LG298_E_CONSUMERS"/>
      <sheetName val="ALG298_MEASUREMENT"/>
      <sheetName val="ALG298_ALMLIST"/>
      <sheetName val="ProjectData"/>
      <sheetName val="Airy"/>
    </sheetNames>
    <sheetDataSet>
      <sheetData sheetId="0" refreshError="1"/>
      <sheetData sheetId="1"/>
      <sheetData sheetId="2"/>
      <sheetData sheetId="3"/>
      <sheetData sheetId="4" refreshError="1"/>
      <sheetData sheetId="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Design"/>
      <sheetName val="TOPSHT"/>
      <sheetName val="DSLP"/>
      <sheetName val="220 11  BS "/>
      <sheetName val="1"/>
      <sheetName val="FT-001_R0"/>
      <sheetName val="FT-05-02_R0"/>
      <sheetName val="e220-66kV_"/>
      <sheetName val="Bidform"/>
      <sheetName val="Material "/>
      <sheetName val="Labour &amp; Plant"/>
      <sheetName val="細目"/>
      <sheetName val="UNP-NCW "/>
      <sheetName val="Circular Column"/>
      <sheetName val="Load Details(B2)"/>
      <sheetName val="Cost of O &amp; O"/>
      <sheetName val="Voucher"/>
      <sheetName val="Data"/>
      <sheetName val="Rate Analysis"/>
      <sheetName val="SPT vs PHI"/>
      <sheetName val="dummy"/>
      <sheetName val="A1-Continuous"/>
      <sheetName val="QFC"/>
      <sheetName val="DE"/>
      <sheetName val="Codes"/>
      <sheetName val="UK"/>
      <sheetName val="PMS"/>
      <sheetName val="ALG298_ALM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mar2000-r1"/>
      <sheetName val="SC "/>
      <sheetName val="sc-mar2000"/>
      <sheetName val="sc-dec99"/>
      <sheetName val="óc-sepVdec99"/>
      <sheetName val="Sc-sep99"/>
      <sheetName val="rewtd"/>
      <sheetName val="ds"/>
      <sheetName val="SOC Dates"/>
      <sheetName val="OS"/>
      <sheetName val="BOQ"/>
      <sheetName val="3MLKQ "/>
      <sheetName val="CAR"/>
      <sheetName val="sc-sepVdec99"/>
      <sheetName val="DSLP"/>
      <sheetName val="ALG298_ALMLIST"/>
      <sheetName val="FT-05-02IsoBO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X3A11"/>
      <sheetName val="ANX3A12"/>
      <sheetName val="ANX3A13"/>
      <sheetName val="ANX3A14"/>
      <sheetName val="ANX3A15"/>
      <sheetName val="ANX3A16"/>
      <sheetName val="ANX3A17"/>
      <sheetName val="ANX3A18"/>
      <sheetName val="ANX3A20"/>
      <sheetName val="ANX3A30"/>
      <sheetName val="TABLE"/>
      <sheetName val="FT-05-02IsoBOM"/>
      <sheetName val="BQMPALOC"/>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Unit33&amp;43"/>
      <sheetName val="Sheet6"/>
      <sheetName val="1100"/>
      <sheetName val="환율표"/>
      <sheetName val="BQ"/>
      <sheetName val="Quantity"/>
      <sheetName val="Referencias"/>
      <sheetName val="fitting"/>
      <sheetName val="Material and Manpower data"/>
      <sheetName val="ALLOWANCE"/>
      <sheetName val="MH RATE"/>
      <sheetName val="Sheet1"/>
      <sheetName val="C"/>
      <sheetName val="Rec &amp; Pay"/>
      <sheetName val="gvl"/>
      <sheetName val="작성기준"/>
      <sheetName val="data_dci"/>
      <sheetName val="data_mci"/>
      <sheetName val="behind"/>
      <sheetName val="Main"/>
      <sheetName val="bolts"/>
      <sheetName val="Administrative Prices"/>
      <sheetName val="Summary"/>
      <sheetName val="DSLP"/>
      <sheetName val="“ü—Í"/>
      <sheetName val="CAT_5"/>
      <sheetName val="池田Data"/>
      <sheetName val="INVOICE"/>
      <sheetName val="BOQ_1"/>
      <sheetName val="STD"/>
      <sheetName val="WIP"/>
      <sheetName val="할증 "/>
      <sheetName val="Cable Properties"/>
      <sheetName val="List"/>
      <sheetName val="LV induction motors"/>
      <sheetName val="TIE-IN"/>
      <sheetName val="기계내역서"/>
      <sheetName val="info"/>
      <sheetName val="SHAH1"/>
      <sheetName val="BaseWeight"/>
      <sheetName val="A G PIPING"/>
      <sheetName val="OVER ALL"/>
      <sheetName val="ORG"/>
      <sheetName val="Billing amount "/>
      <sheetName val="Z'+PFD-Auswertung"/>
      <sheetName val="Overall_Project"/>
      <sheetName val="Overall_Process"/>
      <sheetName val="Overall_Utility"/>
      <sheetName val="FWBS_1000"/>
      <sheetName val="FWBS_2000"/>
      <sheetName val="FWBS_3000"/>
      <sheetName val="FWBS_5000"/>
      <sheetName val="FWBS_6000"/>
      <sheetName val="FWBS_7000"/>
      <sheetName val="FWBS_8000"/>
      <sheetName val="FWBS_9000"/>
      <sheetName val="FWBS_A000"/>
      <sheetName val="FWBS_B000"/>
      <sheetName val="FWBS_Z000"/>
      <sheetName val="MH_RATE"/>
      <sheetName val="Material_and_Manpower_data"/>
      <sheetName val="Rec_&amp;_Pay"/>
      <sheetName val="Administrative_Prices"/>
      <sheetName val="A_G_PIPING"/>
      <sheetName val="OVER_ALL"/>
      <sheetName val="Billing_amount_"/>
      <sheetName val="sc-mar2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 val="FINANCING"/>
      <sheetName val="#REF"/>
      <sheetName val="PRICES"/>
      <sheetName val="OVERHEADS"/>
      <sheetName val="Calendaruseful"/>
      <sheetName val="UG PIPING"/>
      <sheetName val="Design"/>
      <sheetName val="FT-05-02IsoBOM"/>
      <sheetName val="Z__PFD_Auswertung"/>
      <sheetName val="DSLP"/>
      <sheetName val="ANX3A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ICKNESS TABLE"/>
      <sheetName val="Chart1"/>
      <sheetName val="HYDROTEST"/>
      <sheetName val="Sheet1"/>
      <sheetName val="PMS INDEX"/>
      <sheetName val="stress"/>
      <sheetName val="PREPMS-LATEST"/>
      <sheetName val="Calendar"/>
      <sheetName val="Z__PFD_Auswertu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Work-building"/>
      <sheetName val="Analysis."/>
      <sheetName val="Elect."/>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DATA 1"/>
      <sheetName val="TECH DATA"/>
      <sheetName val="CS PIPING"/>
      <sheetName val="Bechtel Norms"/>
      <sheetName val="BASIC"/>
      <sheetName val="Calendar"/>
      <sheetName val="ANX3A11"/>
      <sheetName val="Basic_Parameters"/>
      <sheetName val="CLAY"/>
      <sheetName val="Design"/>
      <sheetName val="PLK Old Price"/>
      <sheetName val="stress"/>
      <sheetName val="PMS IND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31-4 (2)"/>
      <sheetName val="331-4"/>
      <sheetName val="327-1"/>
      <sheetName val="323-1"/>
      <sheetName val="314-3"/>
      <sheetName val="313-4"/>
      <sheetName val="310-3"/>
      <sheetName val="301-1"/>
      <sheetName val="298-1"/>
      <sheetName val="294-2"/>
      <sheetName val="288-1"/>
      <sheetName val="INTRO"/>
      <sheetName val="LL ABUT"/>
      <sheetName val="LLPIER(2)"/>
      <sheetName val="LL PIER"/>
      <sheetName val="INPUT-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ry"/>
      <sheetName val="DETAILED ENGG PROG"/>
    </sheetNames>
    <sheetDataSet>
      <sheetData sheetId="0">
        <row r="21">
          <cell r="B21" t="e">
            <v>#NAME?</v>
          </cell>
        </row>
      </sheetData>
      <sheetData sheetId="1"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RINT.XLS"/>
      <sheetName val="Working"/>
      <sheetName val="General"/>
      <sheetName val="Sheet3"/>
      <sheetName val="MTO"/>
      <sheetName val="Foglio1"/>
      <sheetName val="TTL"/>
    </sheetNames>
    <definedNames>
      <definedName name="B_OK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plysubco"/>
      <sheetName val="Customs"/>
      <sheetName val="Bill of Quantities-option1"/>
      <sheetName val="Bill of Quantities-option2 pric"/>
      <sheetName val="As Submitted"/>
      <sheetName val="Final BOQ"/>
      <sheetName val="DCP"/>
      <sheetName val="Manholes"/>
      <sheetName val="qty"/>
      <sheetName val="Structures"/>
      <sheetName val="electrical"/>
      <sheetName val="line marking"/>
      <sheetName val="fuel-fox"/>
      <sheetName val="RMCG Beam"/>
      <sheetName val="Sheet4"/>
      <sheetName val="Pavement type 5 &amp; 7"/>
      <sheetName val="Inter block with colourfull top"/>
      <sheetName val="Inter block with colourfull"/>
      <sheetName val="interl blocks (2)"/>
      <sheetName val="11.annex 7 concrete analysi"/>
      <sheetName val="Summary - Opt 2"/>
      <sheetName val="Summary - Opt 1"/>
      <sheetName val="Top Sheet"/>
      <sheetName val="Bill of Quantities -option2"/>
      <sheetName val="Prelims"/>
      <sheetName val="Top Sheet (2)"/>
      <sheetName val="Storm water drainage"/>
      <sheetName val="escalation"/>
      <sheetName val="Sheet1"/>
      <sheetName val="Base &amp; Subbase"/>
      <sheetName val="4 Annex 1 Basic rate"/>
      <sheetName val="Bedding sand drainage"/>
      <sheetName val="missed qty (2)"/>
      <sheetName val="missed qty"/>
      <sheetName val="BASIC"/>
      <sheetName val="Bechtel Norms"/>
      <sheetName val="CS PIPING"/>
      <sheetName val="TECH DATA"/>
      <sheetName val="Bill_of_Quantities-option1"/>
      <sheetName val="Bill_of_Quantities-option2_pric"/>
      <sheetName val="As_Submitted"/>
      <sheetName val="Final_BOQ"/>
      <sheetName val="line_marking"/>
      <sheetName val="RMCG_Beam"/>
      <sheetName val="Pavement_type_5_&amp;_7"/>
      <sheetName val="Inter_block_with_colourfull_top"/>
      <sheetName val="Inter_block_with_colourfull"/>
      <sheetName val="interl_blocks_(2)"/>
      <sheetName val="11_annex_7_concrete_analysi"/>
      <sheetName val="Summary_-_Opt_2"/>
      <sheetName val="Summary_-_Opt_1"/>
      <sheetName val="Top_Sheet"/>
      <sheetName val="Bill_of_Quantities_-option2"/>
      <sheetName val="Top_Sheet_(2)"/>
      <sheetName val="Storm_water_drainage"/>
      <sheetName val="Base_&amp;_Subbase"/>
      <sheetName val="4_Annex_1_Basic_rate"/>
      <sheetName val="Bedding_sand_drainage"/>
      <sheetName val="missed_qty_(2)"/>
      <sheetName val="missed_qty"/>
      <sheetName val="Ave.wtd.rates"/>
      <sheetName val="Material "/>
      <sheetName val="Labour &amp; Plant"/>
      <sheetName val="PRECAST lightconc-II"/>
      <sheetName val="Calendar"/>
      <sheetName val="Basic_Parameters"/>
      <sheetName val="Design"/>
      <sheetName val="BC &amp; MNB "/>
      <sheetName val=""/>
      <sheetName val="NC-CM"/>
      <sheetName val="FT-05-02IsoBOM"/>
      <sheetName val="Condition survey"/>
      <sheetName val="Rate 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Turret"/>
      <sheetName val="UNIT 340"/>
      <sheetName val="SYSTEM 943-944 HM CM Syst"/>
      <sheetName val="SYSTEM 945 Air&amp;Nitrogen"/>
      <sheetName val="LOCAL EQUIP ROOM"/>
      <sheetName val="4 Annex 1 Basic rate"/>
      <sheetName val="BASIC"/>
      <sheetName val="Bechtel Norms"/>
      <sheetName val="CS PIPING"/>
      <sheetName val="TECH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Notes"/>
      <sheetName val="Hold"/>
      <sheetName val="LIST Topside"/>
      <sheetName val="list Hull"/>
      <sheetName val="List Turret"/>
      <sheetName val="List Mooring"/>
      <sheetName val="Topside cum weight"/>
      <sheetName val="UNIT 340"/>
      <sheetName val="SYSTEM 943-944 HM CM Syst"/>
      <sheetName val="SYSTEM 945 Air&amp;Nitrogen"/>
      <sheetName val="LOCAL EQUIP ROOM"/>
      <sheetName val="4 Annex 1 Basic 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4 Annex 1 Basic rate"/>
      <sheetName val="FitOutConfCentre"/>
      <sheetName val="RateAnalysis"/>
      <sheetName val="dBase"/>
      <sheetName val="PRECAST lightconc-II"/>
      <sheetName val="COLUMN"/>
      <sheetName val="analysis"/>
      <sheetName val="CAL(1)."/>
      <sheetName val="SYSTEM 945 Air&amp;Nitrogen"/>
      <sheetName val="Publicbuilding"/>
      <sheetName val="Qty Wise Prgrs of Box Str"/>
      <sheetName val="DSLP"/>
      <sheetName val="BC &amp; MNB "/>
      <sheetName val="Crane List General"/>
      <sheetName val="s"/>
      <sheetName val="Equipment Information"/>
      <sheetName val="Equipment Block"/>
      <sheetName val="Surcharge"/>
      <sheetName val="strain"/>
      <sheetName val="grid"/>
      <sheetName val="BASIC"/>
      <sheetName val="Bechtel Norms"/>
      <sheetName val="CS PIPING"/>
      <sheetName val="TECH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2gii"/>
      <sheetName val="upa"/>
      <sheetName val="banilad"/>
      <sheetName val="Mactan"/>
      <sheetName val="Mandau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macros"/>
      <sheetName val="DSLP"/>
      <sheetName val="BTB"/>
      <sheetName val="cf"/>
      <sheetName val="orders"/>
      <sheetName val="ecc_res"/>
      <sheetName val="LEGEND"/>
      <sheetName val="strain"/>
      <sheetName val="Form-C4"/>
      <sheetName val="Sheet5"/>
      <sheetName val="banilad"/>
      <sheetName val="Mactan"/>
      <sheetName val="Mandaue"/>
      <sheetName val="PACK (B)"/>
      <sheetName val="Title_Str"/>
      <sheetName val="Str Dsgn"/>
      <sheetName val="Ten Cap"/>
      <sheetName val="Wind_15m"/>
      <sheetName val="Wind_17.5m"/>
      <sheetName val="Wind_20m"/>
      <sheetName val="Title_Fdn"/>
      <sheetName val="Fdn Loads"/>
      <sheetName val="Fdn_Dsgn_Y(2m)"/>
      <sheetName val="1_Y(2m)"/>
      <sheetName val="Fdn_Dsgn_X(2m)"/>
      <sheetName val="1_X(2m)"/>
      <sheetName val="Fdn_Dsgn_Y (3.3m)"/>
      <sheetName val="1_Y (3.3m)"/>
      <sheetName val="Fdn_Dsgn_X (3.3m)"/>
      <sheetName val="1_X (3.3m)"/>
      <sheetName val="Purlin(7m)"/>
      <sheetName val="dBase"/>
      <sheetName val="Key Assumptions"/>
      <sheetName val="Transfer"/>
      <sheetName val="S4"/>
      <sheetName val="wordsdata"/>
      <sheetName val="Intro"/>
      <sheetName val="Assumptions"/>
      <sheetName val="analysis"/>
      <sheetName val="horizontal"/>
      <sheetName val="BSD (2)"/>
      <sheetName val="SITE OVERHEADS"/>
      <sheetName val="4 Annex 1 Basic rate"/>
      <sheetName val="water prop."/>
      <sheetName val="SPT vs PHI"/>
      <sheetName val="Major Br. Statement"/>
      <sheetName val="s"/>
      <sheetName val="Load Details-220kV"/>
      <sheetName val="Bongaon"/>
      <sheetName val="Jeerat"/>
      <sheetName val="NJP"/>
      <sheetName val="ASSAm Gua PBC"/>
      <sheetName val="Khalifa Parkf"/>
      <sheetName val="M+MC"/>
      <sheetName val="JCR TOP(ITEM)-KTRP"/>
      <sheetName val="Materi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A1" t="str">
            <v>ORISSA State Electricity Board, - GRIDCO</v>
          </cell>
        </row>
      </sheetData>
      <sheetData sheetId="15">
        <row r="1">
          <cell r="A1" t="str">
            <v>ORISSA State Electricity Board, - GRIDCO</v>
          </cell>
        </row>
      </sheetData>
      <sheetData sheetId="16">
        <row r="1">
          <cell r="A1" t="str">
            <v>ORISSA State Electricity Board, - GRIDCO</v>
          </cell>
        </row>
      </sheetData>
      <sheetData sheetId="17">
        <row r="1">
          <cell r="A1" t="str">
            <v>ORISSA State Electricity Board, - GRIDCO</v>
          </cell>
        </row>
      </sheetData>
      <sheetData sheetId="18">
        <row r="1">
          <cell r="A1" t="str">
            <v>ORISSA State Electricity Board, - GRIDCO</v>
          </cell>
        </row>
      </sheetData>
      <sheetData sheetId="19">
        <row r="1">
          <cell r="A1" t="str">
            <v>ORISSA State Electricity Board, - GRIDCO</v>
          </cell>
        </row>
      </sheetData>
      <sheetData sheetId="20">
        <row r="1">
          <cell r="A1" t="str">
            <v>ORISSA State Electricity Board, - GRIDCO</v>
          </cell>
        </row>
      </sheetData>
      <sheetData sheetId="21">
        <row r="1">
          <cell r="A1" t="str">
            <v>ORISSA State Electricity Board, - GRIDCO</v>
          </cell>
        </row>
      </sheetData>
      <sheetData sheetId="22">
        <row r="1">
          <cell r="A1" t="str">
            <v>ORISSA State Electricity Board, - GRIDCO</v>
          </cell>
        </row>
      </sheetData>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Basicrates"/>
      <sheetName val="Carriage"/>
      <sheetName val="SiteClear"/>
      <sheetName val="EW"/>
      <sheetName val="SBase"/>
      <sheetName val="Bit-Base"/>
      <sheetName val="CC Pave"/>
      <sheetName val="REW"/>
      <sheetName val="TSigns"/>
      <sheetName val="PC"/>
      <sheetName val="Maint."/>
      <sheetName val="horti"/>
      <sheetName val="Found"/>
      <sheetName val="SubS"/>
      <sheetName val="SupS"/>
      <sheetName val="PW"/>
      <sheetName val="Abstract"/>
      <sheetName val="CC_Pave"/>
      <sheetName val="Maint_"/>
      <sheetName val="CC_Pave1"/>
      <sheetName val="Maint_1"/>
      <sheetName val="01"/>
      <sheetName val="02"/>
      <sheetName val="03"/>
      <sheetName val="04"/>
      <sheetName val="CC_Pave2"/>
      <sheetName val="Maint_2"/>
      <sheetName val="Machinery"/>
    </sheetNames>
    <sheetDataSet>
      <sheetData sheetId="0">
        <row r="145">
          <cell r="D145">
            <v>125</v>
          </cell>
        </row>
      </sheetData>
      <sheetData sheetId="1">
        <row r="8">
          <cell r="F8">
            <v>264.39999999999998</v>
          </cell>
        </row>
        <row r="145">
          <cell r="D145">
            <v>125</v>
          </cell>
        </row>
        <row r="148">
          <cell r="D148">
            <v>75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quisition Summary"/>
      <sheetName val="Bidform"/>
      <sheetName val="Quantities"/>
      <sheetName val="Formulas"/>
      <sheetName val="Cost Summary"/>
      <sheetName val="Vibro Equipment"/>
      <sheetName val="DETAILED  BOQ"/>
      <sheetName val="boq"/>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r5"/>
      <sheetName val="DSr4-nF"/>
      <sheetName val="DSr3"/>
      <sheetName val="DSr2"/>
      <sheetName val="DSr1"/>
      <sheetName val="DS"/>
      <sheetName val="3MLKQ"/>
      <sheetName val="boq"/>
      <sheetName val="Bidform"/>
      <sheetName val="DETAILED  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strain"/>
      <sheetName val="DETAILED  BOQ"/>
      <sheetName val="4 Annex 1 Basic rate"/>
      <sheetName val="Design"/>
      <sheetName val="FT-05-02IsoBOM"/>
      <sheetName val="Bidform"/>
      <sheetName val="Cable data"/>
      <sheetName val="Table"/>
      <sheetName val="refer"/>
      <sheetName val="Detail In Door Stad"/>
      <sheetName val="Project Details.."/>
      <sheetName val="TBAL9697 -group wise  sdpl"/>
      <sheetName val="p&amp;m"/>
      <sheetName val="Build-up"/>
      <sheetName val="factors"/>
      <sheetName val="RCC,Ret. Wall"/>
      <sheetName val="ANAL"/>
      <sheetName val="Legal Risk Analysis"/>
      <sheetName val="Load Details(B2)"/>
      <sheetName val="Detail P&amp;L"/>
      <sheetName val="Assumption Sheet"/>
      <sheetName val="scurve calc (2)"/>
      <sheetName val="Staff_Acco_"/>
      <sheetName val="Tel__"/>
      <sheetName val="Ext_light"/>
      <sheetName val="Staff_Acco_1"/>
      <sheetName val="DETAILED__BOQ"/>
      <sheetName val="4_Annex_1_Basic_rate"/>
      <sheetName val="Cable_data"/>
      <sheetName val="SCHEDULE OF RATES"/>
      <sheetName val="COLUMN"/>
      <sheetName val="APPENDIX B-1"/>
      <sheetName val="Bill 3.1"/>
      <sheetName val="CFLOW"/>
      <sheetName val="PRECAST lightconc-II"/>
      <sheetName val="Gujrat"/>
      <sheetName val="Bill 3 - Site Works"/>
      <sheetName val="schedule1"/>
      <sheetName val="Precalculation"/>
      <sheetName val="BOQ"/>
      <sheetName val="2gii"/>
      <sheetName val="analysis"/>
      <sheetName val="GR.slab-reinft"/>
      <sheetName val="Material "/>
      <sheetName val="basic-data"/>
      <sheetName val="mem-property"/>
      <sheetName val="FORM7"/>
      <sheetName val="SPT vs PHI"/>
      <sheetName val="Civil Works"/>
      <sheetName val="Fill this out first..."/>
      <sheetName val="3MLKQ"/>
      <sheetName val="sumary"/>
      <sheetName val="Rate Analysis"/>
      <sheetName val="Xenon(R2)"/>
      <sheetName val="Sheet3"/>
      <sheetName val="CABLE"/>
      <sheetName val="number"/>
      <sheetName val="Boq Block A"/>
      <sheetName val="4-Int- ele(RA)"/>
      <sheetName val="estimate"/>
      <sheetName val="UNP-NCW "/>
      <sheetName val="INDIGINEOUS ITEMS "/>
      <sheetName val="SCHEDULE (3)"/>
      <sheetName val="Database"/>
      <sheetName val="schedule nos"/>
      <sheetName val="INPUT-DATA"/>
      <sheetName val="BTB"/>
      <sheetName val="cf"/>
      <sheetName val="orders"/>
      <sheetName val="2004"/>
      <sheetName val="BLOCK-A (MEA.SHEET)"/>
      <sheetName val="RA-markate"/>
      <sheetName val="IO List"/>
      <sheetName val="S1BOQ"/>
      <sheetName val="Input"/>
      <sheetName val="Activity"/>
      <sheetName val="Crew"/>
      <sheetName val="Piping"/>
      <sheetName val="Pipe Supports"/>
      <sheetName val="BOQ (2)"/>
      <sheetName val="#REF"/>
      <sheetName val="Box- Girder"/>
      <sheetName val="DLC lookups"/>
      <sheetName val="Gen Info"/>
      <sheetName val="Indirect expenses"/>
      <sheetName val="CCTV_EST1"/>
      <sheetName val="Quote Sheet"/>
      <sheetName val="labour coeff"/>
      <sheetName val="Works - Quote Sheet"/>
      <sheetName val="Costing"/>
      <sheetName val="Mat_Cost"/>
      <sheetName val="Cost_Any."/>
      <sheetName val="LIST OF MAKES"/>
      <sheetName val="Sqn_Abs_G_6_ "/>
      <sheetName val="WO_Abs _G_2_ 6 DUs"/>
      <sheetName val="Air_Abs_G_6_ 23 DUs"/>
      <sheetName val="Lease rents"/>
      <sheetName val="Break up Sheet"/>
      <sheetName val="Asia Revised 10-1-07"/>
      <sheetName val="All Capital Plan P+L 10-1-07"/>
      <sheetName val="CP08 (2)"/>
      <sheetName val="Planning File 10-1-07"/>
      <sheetName val="SITE OVERHEADS"/>
      <sheetName val="std"/>
      <sheetName val="Basement Budget"/>
      <sheetName val="Parameter"/>
      <sheetName val="1_Project_Profile"/>
      <sheetName val="Detail 1A"/>
      <sheetName val="banilad"/>
      <sheetName val="Mactan"/>
      <sheetName val="Mandaue"/>
      <sheetName val="BLK2"/>
      <sheetName val="BLK3"/>
      <sheetName val="E &amp; R"/>
      <sheetName val="radar"/>
      <sheetName val="UG"/>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Headings"/>
      <sheetName val="Detail"/>
      <sheetName val="Mat.Cost"/>
      <sheetName val="SPILL OVER"/>
      <sheetName val="s"/>
      <sheetName val="Pile cap"/>
      <sheetName val="ABB"/>
      <sheetName val="GE"/>
      <sheetName val="Sheet2"/>
      <sheetName val="Cable-data"/>
      <sheetName val="Summary"/>
      <sheetName val="GF Columns"/>
      <sheetName val="Bed Class"/>
      <sheetName val="Cd"/>
      <sheetName val="Loads"/>
      <sheetName val="DATA"/>
      <sheetName val="DTF Summary"/>
      <sheetName val="Codes"/>
      <sheetName val="BHANDUP"/>
      <sheetName val="macros"/>
      <sheetName val="Rate"/>
      <sheetName val="doq"/>
      <sheetName val="Brand"/>
      <sheetName val="PackSize"/>
      <sheetName val="PackagingType"/>
      <sheetName val="Plant"/>
      <sheetName val="ProductHierarchy"/>
      <sheetName val="PurchGroup"/>
      <sheetName val="Sub-brand"/>
      <sheetName val="UOM"/>
      <sheetName val="Variant"/>
      <sheetName val="Material"/>
      <sheetName val="Zone"/>
      <sheetName val="Vendor"/>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Form 6"/>
      <sheetName val="BOQ_Direct_selling cost"/>
      <sheetName val="#REF!"/>
      <sheetName val="VCH-SLC"/>
      <sheetName val="Supplier"/>
      <sheetName val="WWR"/>
      <sheetName val="jobhist"/>
      <sheetName val="bs BP 04 SA"/>
      <sheetName val="BULook"/>
      <sheetName val="key dates"/>
      <sheetName val="Actuals"/>
      <sheetName val="Inventory"/>
      <sheetName val="Cover"/>
      <sheetName val="사진"/>
      <sheetName val="Intro."/>
      <sheetName val="ACS(1)"/>
      <sheetName val="FAS-C(4)"/>
      <sheetName val="Assumptions"/>
      <sheetName val="specification options"/>
      <sheetName val="Intro"/>
      <sheetName val="M.R.List (2)"/>
      <sheetName val="Aseet1998"/>
      <sheetName val="MASTER_RATE ANALYSIS"/>
      <sheetName val="Cost summary"/>
      <sheetName val="01"/>
      <sheetName val="Balance Sheet "/>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1-Pop Proj"/>
      <sheetName val="Transfer"/>
      <sheetName val="M+MC"/>
      <sheetName val="procurement"/>
      <sheetName val="concrete"/>
      <sheetName val="beam-reinft-IIInd floor"/>
      <sheetName val="Estimation"/>
      <sheetName val="Contract BOQ"/>
      <sheetName val="Annex"/>
      <sheetName val="beam-reinft-machine rm"/>
      <sheetName val="calcul"/>
      <sheetName val="T1 WO"/>
      <sheetName val="A.O.R."/>
      <sheetName val="REf"/>
      <sheetName val="saihous.ele"/>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MAIN"/>
      <sheetName val="WL&amp;EL 1"/>
      <sheetName val="WL&amp;EL 2"/>
      <sheetName val="232V-010"/>
      <sheetName val="232E-012"/>
      <sheetName val="Load Comb"/>
      <sheetName val="Annex 3"/>
      <sheetName val="Annex 4"/>
      <sheetName val="CAL. (2)"/>
      <sheetName val="Sheet1"/>
      <sheetName val="Sheet2"/>
      <sheetName val="IS-BEAM DESIGN "/>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 Info"/>
      <sheetName val="level"/>
      <sheetName val="volume"/>
      <sheetName val="G_Design"/>
      <sheetName val="traffic "/>
      <sheetName val="lab_ test"/>
      <sheetName val="CD_Existing"/>
      <sheetName val="Slab-1840"/>
      <sheetName val="Slab-2560"/>
      <sheetName val="Slab-3520"/>
      <sheetName val="Slab 3520m est"/>
      <sheetName val="CD Design"/>
      <sheetName val="pavement(0-1300&amp;2600-3860)"/>
      <sheetName val="pavement (1300-2600m)"/>
      <sheetName val="road_est(bm)"/>
      <sheetName val="E-Slab3520"/>
      <sheetName val="E-Slab 1840,2560"/>
      <sheetName val="E-P1"/>
      <sheetName val="E-P2"/>
      <sheetName val="Total Cost"/>
      <sheetName val="cover page"/>
      <sheetName val="1.5mspanX1.0m est. "/>
      <sheetName val="design of 510m "/>
      <sheetName val="510m estimate"/>
      <sheetName val="design of 750m"/>
      <sheetName val="design of  1260m"/>
      <sheetName val="Dig_Pavment 0-1300"/>
      <sheetName val="Dig_Pavment1300-2600"/>
      <sheetName val="Dig_Pavment2600-3860"/>
      <sheetName val="Rigid Pavement Drawing"/>
    </sheetNames>
    <sheetDataSet>
      <sheetData sheetId="0" refreshError="1">
        <row r="34">
          <cell r="B34">
            <v>500</v>
          </cell>
        </row>
        <row r="35">
          <cell r="B35">
            <v>500</v>
          </cell>
        </row>
        <row r="36">
          <cell r="B36">
            <v>1000</v>
          </cell>
        </row>
        <row r="37">
          <cell r="B37">
            <v>1500</v>
          </cell>
        </row>
        <row r="38">
          <cell r="B38">
            <v>2000</v>
          </cell>
        </row>
        <row r="39">
          <cell r="B39">
            <v>2500</v>
          </cell>
        </row>
        <row r="40">
          <cell r="B40">
            <v>3000</v>
          </cell>
        </row>
        <row r="41">
          <cell r="B41">
            <v>3500</v>
          </cell>
        </row>
        <row r="42">
          <cell r="B42">
            <v>4000</v>
          </cell>
        </row>
        <row r="43">
          <cell r="B43">
            <v>4500</v>
          </cell>
        </row>
        <row r="44">
          <cell r="B44">
            <v>5000</v>
          </cell>
        </row>
        <row r="45">
          <cell r="B45">
            <v>5500</v>
          </cell>
        </row>
        <row r="46">
          <cell r="B46">
            <v>6000</v>
          </cell>
        </row>
        <row r="47">
          <cell r="B47">
            <v>6500</v>
          </cell>
        </row>
        <row r="48">
          <cell r="B48">
            <v>7000</v>
          </cell>
        </row>
        <row r="49">
          <cell r="B49">
            <v>7500</v>
          </cell>
        </row>
        <row r="50">
          <cell r="B50">
            <v>8000</v>
          </cell>
        </row>
        <row r="51">
          <cell r="B51">
            <v>8500</v>
          </cell>
        </row>
        <row r="52">
          <cell r="B52">
            <v>9000</v>
          </cell>
        </row>
        <row r="53">
          <cell r="B53">
            <v>9500</v>
          </cell>
        </row>
        <row r="54">
          <cell r="B54">
            <v>10000</v>
          </cell>
        </row>
        <row r="55">
          <cell r="B55">
            <v>10500</v>
          </cell>
        </row>
        <row r="56">
          <cell r="B56">
            <v>11000</v>
          </cell>
        </row>
        <row r="57">
          <cell r="B57">
            <v>11500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MCT"/>
      <sheetName val="Staff Acco."/>
      <sheetName val="3MLKQ"/>
    </sheetNames>
    <sheetDataSet>
      <sheetData sheetId="0"/>
      <sheetData sheetId="1" refreshError="1"/>
      <sheetData sheetId="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HC"/>
      <sheetName val="RHC"/>
      <sheetName val="Inventory"/>
      <sheetName val="Villages"/>
      <sheetName val="Temples"/>
      <sheetName val="Junction improvement"/>
      <sheetName val="KMS"/>
      <sheetName val="Junction Signs"/>
      <sheetName val="Ext.Junctions"/>
      <sheetName val="Cut&amp;Fill"/>
      <sheetName val="Land Use &amp; Terrain"/>
      <sheetName val="Ave.Road Width"/>
      <sheetName val="Ave.Shoulder"/>
      <sheetName val="Detailed Road Width"/>
      <sheetName val="Detailed Shoulder"/>
      <sheetName val="Jun (2)"/>
      <sheetName val="Fore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mar2000-r1"/>
      <sheetName val="SC "/>
      <sheetName val="sc-mar2000"/>
      <sheetName val="sc-dec99"/>
      <sheetName val="óc-sepVdec99"/>
      <sheetName val="Sc-sep99"/>
      <sheetName val="rewtd"/>
      <sheetName val="ds"/>
      <sheetName val="SOC Dates"/>
      <sheetName val="OS"/>
      <sheetName val="BOQ"/>
      <sheetName val="3MLKQ "/>
      <sheetName val="CAR"/>
      <sheetName val="sc-sepVdec99"/>
      <sheetName val="QMCT"/>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
      <sheetName val="contract"/>
      <sheetName val="invoice"/>
      <sheetName val="1,4,13-.scope"/>
      <sheetName val="scurve"/>
      <sheetName val="QMCT"/>
      <sheetName val="Transfer"/>
      <sheetName val="BOQ -Temporary Diversion works"/>
      <sheetName val="BOQ -Road Works"/>
      <sheetName val="1,4,13-_scope"/>
      <sheetName val="concrete"/>
      <sheetName val="beam-reinft-IIInd floor"/>
      <sheetName val="REL"/>
      <sheetName val="conc-foot-gradeslab"/>
      <sheetName val="Staff Acco."/>
      <sheetName val="TBAL9697 -group wise  sdpl"/>
      <sheetName val="water prop."/>
      <sheetName val="Rate Analysis"/>
      <sheetName val="COLUMN"/>
      <sheetName val="ANNEXURE-A"/>
      <sheetName val="beam-reinft"/>
      <sheetName val="sc-mar2000"/>
      <sheetName val="óc-sepVdec99"/>
    </sheetNames>
    <sheetDataSet>
      <sheetData sheetId="0">
        <row r="126">
          <cell r="K126">
            <v>794288927.80036044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U_CJ3"/>
      <sheetName val="ANAL"/>
      <sheetName val="AHU_CJ3.XLS"/>
      <sheetName val="Chart"/>
      <sheetName val="BW"/>
      <sheetName val="DATA"/>
      <sheetName val="예산M11A"/>
      <sheetName val="sc-mar2000"/>
      <sheetName val="óc-sepVdec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Highways"/>
      <sheetName val="BOQ-Structures"/>
      <sheetName val="BOQ-Balance"/>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STIONS."/>
      <sheetName val="FDRS"/>
      <sheetName val="PANELBB"/>
      <sheetName val="PANELDR"/>
      <sheetName val="SYWB756"/>
      <sheetName val="SYWB757"/>
      <sheetName val="SYWB58"/>
      <sheetName val="SYWB759"/>
      <sheetName val="SYWB760"/>
      <sheetName val="SYWB761"/>
      <sheetName val="SYWB762"/>
      <sheetName val="SYWB763"/>
      <sheetName val="SYWB764"/>
      <sheetName val="SYWE620"/>
      <sheetName val="SYWE621"/>
      <sheetName val="SYWE622"/>
      <sheetName val="SYWE623"/>
      <sheetName val="SYWE624"/>
      <sheetName val="SYWE625"/>
      <sheetName val="SYWE626"/>
      <sheetName val="SYWE627"/>
      <sheetName val="SYWE628"/>
      <sheetName val="SYWE629"/>
      <sheetName val="SYWE630"/>
      <sheetName val="SYWE631"/>
      <sheetName val="SYWE632"/>
      <sheetName val="SYWE633"/>
      <sheetName val="SYWE634"/>
      <sheetName val="SYWE635"/>
      <sheetName val="SYWE636"/>
      <sheetName val="SYWE637"/>
      <sheetName val="SYWE638"/>
      <sheetName val="SYXD066"/>
      <sheetName val="SYXD067"/>
      <sheetName val="SYXD068"/>
      <sheetName val="SYXD069"/>
      <sheetName val="HEAT LOSS CALCULATION L&amp;T Switc"/>
      <sheetName val="ANAL"/>
    </sheetNames>
    <definedNames>
      <definedName name="CheckBox80_Click"/>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of entry"/>
      <sheetName val="Sheet3"/>
      <sheetName val="P&amp;ID_1st MTO"/>
      <sheetName val="SHORT_CODE"/>
      <sheetName val="CLASS"/>
      <sheetName val="SCODE"/>
      <sheetName val="FDRS"/>
      <sheetName val="PANELBB"/>
      <sheetName val="PANELDR"/>
      <sheetName val="1st MTO_MDHD_HDP-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ID_1st MTO"/>
      <sheetName val="SHORT_CODE"/>
      <sheetName val="CLASS"/>
      <sheetName val="SCODE"/>
      <sheetName val="FDRS"/>
      <sheetName val="PANELBB"/>
      <sheetName val="PANELD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olumn"/>
      <sheetName val="column (2)"/>
      <sheetName val="Tank"/>
      <sheetName val="Tank (2)"/>
      <sheetName val="Pressure vessel"/>
      <sheetName val="Pressure vessel (2)"/>
      <sheetName val="Pressure vessel (3)"/>
      <sheetName val="Pressure vessel (4)"/>
      <sheetName val="H_EX"/>
      <sheetName val="H_EX (2)"/>
      <sheetName val="H_EX (3)"/>
      <sheetName val="H_EX (4)"/>
      <sheetName val="H_EX (5)"/>
      <sheetName val="AirCooler"/>
      <sheetName val="AirCooler (2)"/>
      <sheetName val="Pump"/>
      <sheetName val="Pump (2)"/>
      <sheetName val="Pump (3)"/>
      <sheetName val="Pump (4)"/>
      <sheetName val="Pump (5)"/>
      <sheetName val="Pump (6)"/>
      <sheetName val="Pump(7)"/>
      <sheetName val="Pump (8)"/>
      <sheetName val="Pump (9)"/>
      <sheetName val="Comp, Blower"/>
      <sheetName val="Comp, Blower (2)"/>
      <sheetName val="Misc "/>
      <sheetName val="Misc  (2)"/>
      <sheetName val="Misc  (3)"/>
      <sheetName val="Misc  (4)"/>
      <sheetName val="Misc  (5)"/>
      <sheetName val="Misc  (6)"/>
      <sheetName val="Misc  (7)"/>
      <sheetName val="Misc  (8)"/>
      <sheetName val="Misc  (9)"/>
      <sheetName val="Misc  (10)"/>
      <sheetName val="Misc  (11)"/>
      <sheetName val="Misc  (12)"/>
      <sheetName val="Misc  (13)"/>
      <sheetName val="Misc  (14)"/>
      <sheetName val="CLASS"/>
      <sheetName val="SCOD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ontents"/>
      <sheetName val="CLAS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DIR"/>
      <sheetName val="P-L"/>
      <sheetName val="DGchitiet "/>
      <sheetName val="giavatu"/>
      <sheetName val="IND"/>
      <sheetName val="MAN"/>
      <sheetName val="EQU"/>
      <sheetName val="MANDET"/>
      <sheetName val="EQUDET"/>
      <sheetName val="TCO"/>
      <sheetName val="XL4Poppy"/>
      <sheetName val="09-str~1"/>
      <sheetName val="COA-17"/>
      <sheetName val="C-18"/>
      <sheetName val="Conten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Electrical R01"/>
      <sheetName val="Equipments R01"/>
      <sheetName val="Instrumentation R01"/>
      <sheetName val="Piping R01 - DIRECT SUM"/>
      <sheetName val="Piping R01 - PROCESS UNIT"/>
      <sheetName val="PIPE RACKS"/>
      <sheetName val="Piping R01 - MISC"/>
      <sheetName val="Piping R01 - WAYS &amp; OFFSITES"/>
      <sheetName val="Piping R01 - VARIATION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DGchitiet "/>
      <sheetName val="COA-17"/>
      <sheetName val="C-18"/>
    </sheetNames>
    <sheetDataSet>
      <sheetData sheetId="0" refreshError="1"/>
      <sheetData sheetId="1" refreshError="1"/>
      <sheetData sheetId="2" refreshError="1"/>
      <sheetData sheetId="3"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_5"/>
      <sheetName val="?????-1"/>
      <sheetName val="DGchitiet "/>
    </sheetNames>
    <sheetDataSet>
      <sheetData sheetId="0"/>
      <sheetData sheetId="1" refreshError="1"/>
      <sheetData sheetId="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
      <sheetName val="COVER"/>
      <sheetName val="SPECIFICA"/>
      <sheetName val="F.D."/>
      <sheetName val="Status"/>
      <sheetName val="General"/>
      <sheetName val="Sheet 3"/>
      <sheetName val="INST(GD)"/>
      <sheetName val="F_D_"/>
      <sheetName val="costing_ESDV"/>
      <sheetName val="Heat"/>
      <sheetName val="Feed"/>
      <sheetName val="CBL.Termination"/>
      <sheetName val="MTO"/>
      <sheetName val="Foglio1"/>
      <sheetName val="0024_01A"/>
      <sheetName val="BILAL2"/>
      <sheetName val="B"/>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
      <sheetName val="COVER"/>
      <sheetName val="SPECIFICA"/>
      <sheetName val="F.D."/>
      <sheetName val="Status"/>
      <sheetName val="costing_ESDV"/>
      <sheetName val="General"/>
      <sheetName val="Heat"/>
      <sheetName val="Feed"/>
      <sheetName val="CBL.Termination"/>
      <sheetName val="F_D_"/>
      <sheetName val="Cash2"/>
      <sheetName val="Z"/>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Guide"/>
      <sheetName val="DESIGN"/>
      <sheetName val="History_file"/>
      <sheetName val="CAT_5"/>
      <sheetName val="?????-1"/>
    </sheetNames>
    <sheetDataSet>
      <sheetData sheetId="0"/>
      <sheetData sheetId="1"/>
      <sheetData sheetId="2"/>
      <sheetData sheetId="3" refreshError="1"/>
      <sheetData sheetId="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nh tong hop du toan"/>
      <sheetName val="DGchitiet "/>
      <sheetName val="Tinh%20tong%20hop%20du%20toan.x"/>
      <sheetName val="?????-1"/>
      <sheetName val="DESIGN"/>
      <sheetName val="CAT_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Battr1"/>
      <sheetName val="Bill(4)"/>
      <sheetName val="data"/>
      <sheetName val="BOQ"/>
      <sheetName val="FT-001_R0"/>
      <sheetName val="FT-05-02_R0"/>
      <sheetName val="e220-66kV_"/>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inWords"/>
      <sheetName val="FORM7"/>
      <sheetName val="Closing"/>
      <sheetName val="Risk Te. Co."/>
      <sheetName val="Informa."/>
      <sheetName val="col-reinft1"/>
      <sheetName val="dBase"/>
      <sheetName val="General Data"/>
      <sheetName val="top sh."/>
      <sheetName val="cal"/>
      <sheetName val="AH cal"/>
      <sheetName val="load cycle"/>
      <sheetName val="Staff Acco."/>
      <sheetName val="Meas.-Hotel Part"/>
      <sheetName val="SILICATE"/>
      <sheetName val="M+MC"/>
      <sheetName val="CS Appl Summary"/>
      <sheetName val="Material "/>
      <sheetName val="Labour &amp; Plant"/>
      <sheetName val="Civil &amp; design"/>
      <sheetName val="OHDETAIL"/>
      <sheetName val="JCR TOP(ITEM)-KTRP"/>
      <sheetName val="box-12"/>
    </sheetNames>
    <definedNames>
      <definedName name="cplhsmt"/>
      <definedName name="cptdhsmt"/>
      <definedName name="cptdtdt"/>
      <definedName name="cptdtkkt"/>
      <definedName name="gsktxd"/>
      <definedName name="qlda"/>
      <definedName name="tinhqt"/>
      <definedName name="tkp"/>
      <definedName name="tkpd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BASIC"/>
      <sheetName val="Bechtel Norms"/>
      <sheetName val="CS PIPING"/>
      <sheetName val="TECH DATA"/>
      <sheetName val="Input"/>
      <sheetName val="FT-05-02IsoBOM"/>
      <sheetName val="SOURCE"/>
      <sheetName val="CAL."/>
      <sheetName val="MYFO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W"/>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DEX"/>
      <sheetName val="DESIGN BASIS"/>
      <sheetName val="LOAD COMBINATIONS"/>
      <sheetName val="Support Reactions"/>
      <sheetName val="CALCULATION"/>
      <sheetName val="Design of Isolated Footing"/>
      <sheetName val="Summary"/>
      <sheetName val="Default Values"/>
      <sheetName val="Weight of Soil"/>
      <sheetName val="Punching Shear"/>
      <sheetName val="Shear Table"/>
      <sheetName val="Time period"/>
      <sheetName val="Drawing Parameters Summary"/>
      <sheetName val="CALC"/>
    </sheetNames>
    <sheetDataSet>
      <sheetData sheetId="0" refreshError="1"/>
      <sheetData sheetId="1" refreshError="1"/>
      <sheetData sheetId="2" refreshError="1"/>
      <sheetData sheetId="3" refreshError="1"/>
      <sheetData sheetId="4" refreshError="1"/>
      <sheetData sheetId="5" refreshError="1"/>
      <sheetData sheetId="6" refreshError="1">
        <row r="24">
          <cell r="D24">
            <v>500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Comparision sheet"/>
      <sheetName val="S7-Cash Flow "/>
      <sheetName val="Summary1"/>
      <sheetName val="S21Subcon"/>
      <sheetName val="Cashflow Diagram"/>
      <sheetName val="S1BOQ &amp; Workplan"/>
      <sheetName val="Rate Analysis"/>
      <sheetName val="Summary Shuttering Material"/>
      <sheetName val="Flat 1"/>
      <sheetName val="Flat2"/>
      <sheetName val="Flat3"/>
      <sheetName val="Staircase"/>
      <sheetName val="S6Matqty-Procurement plan"/>
      <sheetName val="S7Mat-cost"/>
      <sheetName val="S23Manno.s-Site staff"/>
      <sheetName val="S24 Mancost."/>
      <sheetName val="S26-Equp Cost"/>
      <sheetName val="S28Rev"/>
      <sheetName val="S31Prelitemdet "/>
      <sheetName val="S43Taxation"/>
      <sheetName val="Summary1 (2)"/>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OCBT"/>
      <sheetName val="Steel-Main Work"/>
      <sheetName val="Totals"/>
      <sheetName val="PACKAGE N°1"/>
      <sheetName val="PACKAGE N°2"/>
      <sheetName val="JIPForm"/>
      <sheetName val="Labour cost"/>
      <sheetName val="Equipment cost"/>
      <sheetName val="Materials"/>
      <sheetName val="Materials on Site"/>
      <sheetName val="00000000"/>
      <sheetName val="SILICATE"/>
      <sheetName val="3514-HV-0201"/>
      <sheetName val="Parameter"/>
      <sheetName val="Cuadros"/>
      <sheetName val="A5. SSDPL Settings"/>
      <sheetName val="SOURCE"/>
      <sheetName val="Sheet5"/>
      <sheetName val="DATA"/>
      <sheetName val="Quantity"/>
      <sheetName val="info"/>
      <sheetName val="ANX3A11"/>
      <sheetName val="31 July 2005"/>
      <sheetName val="MTO"/>
      <sheetName val="Codes,..."/>
      <sheetName val="Lists"/>
      <sheetName val="zpofi"/>
      <sheetName val="CASH FLOW"/>
      <sheetName val="KGM's Summary D&amp;I"/>
      <sheetName val="Base Data"/>
      <sheetName val="Steel-Main_Work"/>
      <sheetName val="PACKAGE_N°1"/>
      <sheetName val="PACKAGE_N°2"/>
      <sheetName val="Steel-Main_Work1"/>
      <sheetName val="PACKAGE_N°11"/>
      <sheetName val="PACKAGE_N°21"/>
      <sheetName val="Sheet1"/>
      <sheetName val="transgulf"/>
      <sheetName val="Pmnts"/>
      <sheetName val="CONTROL-SHEET"/>
      <sheetName val="FA"/>
      <sheetName val="COVER"/>
      <sheetName val="zf-16 dwln"/>
      <sheetName val="ALLOWANCE"/>
      <sheetName val="MH RATE"/>
      <sheetName val="cons"/>
      <sheetName val="Eng."/>
      <sheetName val="SALA-002"/>
      <sheetName val="WEEKSHE"/>
      <sheetName val="11 kV SWGR"/>
      <sheetName val="Status"/>
      <sheetName val="COA_17"/>
      <sheetName val="C_18"/>
      <sheetName val="sept.99"/>
      <sheetName val="PanhandleB"/>
      <sheetName val="Inputs "/>
      <sheetName val="LV"/>
      <sheetName val="Standard Piping MTO"/>
      <sheetName val="Pipe&amp;Valve Coding"/>
      <sheetName val="1. DEC Update_Inputsheet"/>
      <sheetName val="R&amp;P"/>
      <sheetName val="CE DEC"/>
      <sheetName val="Plan2"/>
      <sheetName val="MyLists"/>
      <sheetName val="CashFlow"/>
      <sheetName val="prezziario"/>
      <sheetName val="costing_CV"/>
      <sheetName val="costing_ESDV"/>
      <sheetName val="costing_FE"/>
      <sheetName val="costing_Misc"/>
      <sheetName val="costing_MOV"/>
      <sheetName val="costing_Press"/>
      <sheetName val="топография"/>
      <sheetName val="MAIN-UTC"/>
    </sheetNames>
    <sheetDataSet>
      <sheetData sheetId="0" refreshError="1">
        <row r="1">
          <cell r="A1" t="str">
            <v>DOCNR</v>
          </cell>
          <cell r="B1" t="str">
            <v>CDIS</v>
          </cell>
          <cell r="C1" t="str">
            <v>REV</v>
          </cell>
          <cell r="D1" t="str">
            <v>DES1</v>
          </cell>
          <cell r="E1" t="str">
            <v>DES2</v>
          </cell>
          <cell r="F1" t="str">
            <v>DES3</v>
          </cell>
          <cell r="G1" t="str">
            <v>DES4</v>
          </cell>
          <cell r="H1" t="str">
            <v>LD</v>
          </cell>
          <cell r="I1">
            <v>35206</v>
          </cell>
        </row>
        <row r="2">
          <cell r="A2" t="str">
            <v>ABK082300D 20003</v>
          </cell>
          <cell r="B2" t="str">
            <v>TOTA</v>
          </cell>
          <cell r="C2">
            <v>3</v>
          </cell>
          <cell r="D2" t="str">
            <v>REVAMPING MAIN SWITCHGEAR</v>
          </cell>
          <cell r="E2" t="str">
            <v>UPPER DECK STRUCT. STEEL PROTECTION</v>
          </cell>
          <cell r="H2" t="str">
            <v>DW</v>
          </cell>
          <cell r="I2" t="e">
            <v>#NUM!</v>
          </cell>
        </row>
        <row r="3">
          <cell r="A3" t="str">
            <v>ABK082300D 20003</v>
          </cell>
          <cell r="B3" t="str">
            <v>TOTA</v>
          </cell>
          <cell r="C3">
            <v>3</v>
          </cell>
          <cell r="D3" t="str">
            <v>REVAMPING MAIN SWITCHGEAR</v>
          </cell>
          <cell r="E3" t="str">
            <v>UPPER DECK STRUCT. STEEL PROTECTION</v>
          </cell>
          <cell r="H3" t="str">
            <v>RP</v>
          </cell>
          <cell r="I3" t="e">
            <v>#NUM!</v>
          </cell>
        </row>
        <row r="4">
          <cell r="A4" t="str">
            <v>ABK082300D 20003</v>
          </cell>
          <cell r="B4" t="str">
            <v>TOTA</v>
          </cell>
          <cell r="C4">
            <v>3</v>
          </cell>
          <cell r="D4" t="str">
            <v>REVAMPING MAIN SWITCHGEAR</v>
          </cell>
          <cell r="E4" t="str">
            <v>UPPER DECK STRUCT. STEEL PROTECTION</v>
          </cell>
          <cell r="H4" t="str">
            <v>SP</v>
          </cell>
          <cell r="I4" t="e">
            <v>#NUM!</v>
          </cell>
        </row>
        <row r="5">
          <cell r="A5" t="str">
            <v>ABK082300D 20003</v>
          </cell>
          <cell r="B5" t="str">
            <v>TOTA</v>
          </cell>
          <cell r="C5">
            <v>3</v>
          </cell>
          <cell r="D5" t="str">
            <v>REVAMPING MAIN SWITCHGEAR</v>
          </cell>
          <cell r="E5" t="str">
            <v>UPPER DECK STRUCT. STEEL PROTECTION</v>
          </cell>
          <cell r="H5" t="str">
            <v>DB</v>
          </cell>
          <cell r="I5" t="e">
            <v>#NUM!</v>
          </cell>
        </row>
        <row r="6">
          <cell r="A6" t="str">
            <v>ABK09 0861C 11001</v>
          </cell>
          <cell r="B6" t="str">
            <v>TOTA</v>
          </cell>
          <cell r="C6">
            <v>5</v>
          </cell>
          <cell r="D6" t="str">
            <v>ABK PHASE VII</v>
          </cell>
          <cell r="E6" t="str">
            <v>PIPING LAYOUT AKE WOS BRIDGE</v>
          </cell>
          <cell r="H6" t="str">
            <v>DW</v>
          </cell>
          <cell r="I6" t="e">
            <v>#NUM!</v>
          </cell>
        </row>
        <row r="7">
          <cell r="A7" t="str">
            <v>ABK090800D 18001</v>
          </cell>
          <cell r="B7" t="str">
            <v>TOTA</v>
          </cell>
          <cell r="C7">
            <v>2</v>
          </cell>
          <cell r="D7" t="str">
            <v>ABK PHASE VII - PRODUCT. PLTF.</v>
          </cell>
          <cell r="E7" t="str">
            <v>LEVEL TO SUPPORT M 0015 GENER. VIEW</v>
          </cell>
          <cell r="H7" t="str">
            <v>DW</v>
          </cell>
          <cell r="I7" t="e">
            <v>#NUM!</v>
          </cell>
        </row>
        <row r="8">
          <cell r="A8" t="str">
            <v>ABK090800D 18004</v>
          </cell>
          <cell r="B8" t="str">
            <v>TOTA</v>
          </cell>
          <cell r="C8">
            <v>2</v>
          </cell>
          <cell r="D8" t="str">
            <v>ABK PHASE VII - PRODUCT. PLTF.</v>
          </cell>
          <cell r="E8" t="str">
            <v>LEVEL TO SUPPORT M 0015 GENER. VIEW</v>
          </cell>
          <cell r="H8" t="str">
            <v>DW</v>
          </cell>
          <cell r="I8" t="e">
            <v>#NUM!</v>
          </cell>
        </row>
        <row r="9">
          <cell r="A9" t="str">
            <v>ABK090800K 78007</v>
          </cell>
          <cell r="B9" t="str">
            <v>TOTA</v>
          </cell>
          <cell r="C9">
            <v>4</v>
          </cell>
          <cell r="D9" t="str">
            <v>KS 0001 GENERAL ARRANGEMENT</v>
          </cell>
          <cell r="E9" t="str">
            <v>&amp; SHEMATIC</v>
          </cell>
          <cell r="H9" t="str">
            <v>DW</v>
          </cell>
          <cell r="I9" t="e">
            <v>#NUM!</v>
          </cell>
        </row>
        <row r="10">
          <cell r="A10" t="str">
            <v>ABK090861C 11002</v>
          </cell>
          <cell r="B10" t="str">
            <v>TOTA</v>
          </cell>
          <cell r="C10">
            <v>3</v>
          </cell>
          <cell r="D10" t="str">
            <v>ABK PHASE VII - PIPING LAYOUT</v>
          </cell>
          <cell r="E10" t="str">
            <v>WOS PP BRIDGE</v>
          </cell>
          <cell r="H10" t="str">
            <v>DW</v>
          </cell>
          <cell r="I10" t="e">
            <v>#NUM!</v>
          </cell>
        </row>
        <row r="11">
          <cell r="A11" t="str">
            <v>ABK090861D 18005</v>
          </cell>
          <cell r="B11" t="str">
            <v>TOTA</v>
          </cell>
          <cell r="C11">
            <v>2</v>
          </cell>
          <cell r="D11" t="str">
            <v>AK KHUFF PROJECT - BRIDGE WOS TO PP</v>
          </cell>
          <cell r="E11" t="str">
            <v>NODES RENFORCEMENT</v>
          </cell>
          <cell r="H11" t="str">
            <v>DW</v>
          </cell>
          <cell r="I11" t="e">
            <v>#NUM!</v>
          </cell>
        </row>
        <row r="12">
          <cell r="A12" t="str">
            <v>AD5365DB      01</v>
          </cell>
          <cell r="B12" t="str">
            <v>TOTA</v>
          </cell>
          <cell r="C12">
            <v>1</v>
          </cell>
          <cell r="D12" t="str">
            <v>COVER SHEET NORMAL LIGHTING PANEL</v>
          </cell>
          <cell r="E12" t="str">
            <v>EB 0932A - ABK KHUFF GAS DEVELOP.</v>
          </cell>
          <cell r="H12" t="str">
            <v>DW</v>
          </cell>
          <cell r="I12" t="e">
            <v>#NUM!</v>
          </cell>
        </row>
        <row r="13">
          <cell r="A13" t="str">
            <v>AD5365DB      02</v>
          </cell>
          <cell r="B13" t="str">
            <v>TOTA</v>
          </cell>
          <cell r="C13">
            <v>1</v>
          </cell>
          <cell r="D13" t="str">
            <v>COVER SHEET EMERGENCY LIGHTING</v>
          </cell>
          <cell r="E13" t="str">
            <v>PANEL EB 0933A - ABK KHUFF GAS DEV.</v>
          </cell>
          <cell r="H13" t="str">
            <v>DW</v>
          </cell>
          <cell r="I13" t="e">
            <v>#NUM!</v>
          </cell>
        </row>
        <row r="14">
          <cell r="A14" t="str">
            <v>AKEC  46      060</v>
          </cell>
          <cell r="B14" t="str">
            <v>TOTA</v>
          </cell>
          <cell r="C14">
            <v>2</v>
          </cell>
          <cell r="D14" t="str">
            <v>BRIDGE AKE WOS</v>
          </cell>
          <cell r="E14" t="str">
            <v>PLAN VIEW - DETAILS PIPING LAYOUT</v>
          </cell>
          <cell r="H14" t="str">
            <v>DW</v>
          </cell>
          <cell r="I14" t="e">
            <v>#NUM!</v>
          </cell>
        </row>
        <row r="15">
          <cell r="A15" t="str">
            <v>XXXXXXX</v>
          </cell>
          <cell r="B15" t="str">
            <v>G312</v>
          </cell>
          <cell r="C15" t="str">
            <v>A</v>
          </cell>
          <cell r="D15" t="str">
            <v>QP - LINE LIST</v>
          </cell>
          <cell r="E15" t="str">
            <v>P.A. EQUIPMENT LAYOUT - EL. 21600</v>
          </cell>
          <cell r="H15" t="str">
            <v>DW</v>
          </cell>
          <cell r="I15" t="e">
            <v>#NUM!</v>
          </cell>
        </row>
        <row r="16">
          <cell r="A16" t="str">
            <v>XXXXXXX</v>
          </cell>
          <cell r="B16" t="str">
            <v>G392</v>
          </cell>
          <cell r="C16" t="str">
            <v>A</v>
          </cell>
          <cell r="D16" t="str">
            <v>PP - MEZZANINE DECK</v>
          </cell>
          <cell r="E16" t="str">
            <v>P.A EQUIPMENT LAYOUT - EL. 28000</v>
          </cell>
          <cell r="H16" t="str">
            <v>DW</v>
          </cell>
          <cell r="I16" t="e">
            <v>#NUM!</v>
          </cell>
        </row>
        <row r="17">
          <cell r="A17" t="str">
            <v>XXXXXXX</v>
          </cell>
          <cell r="B17" t="str">
            <v>G392</v>
          </cell>
          <cell r="C17" t="str">
            <v>A</v>
          </cell>
          <cell r="D17" t="str">
            <v>PP - WEATHER DECK - P.A EQUIPMENT</v>
          </cell>
          <cell r="E17" t="str">
            <v>LAYOUT - OLD (EL.33200) NEW 34500</v>
          </cell>
          <cell r="H17" t="str">
            <v>DW</v>
          </cell>
          <cell r="I17" t="e">
            <v>#NUM!</v>
          </cell>
        </row>
        <row r="18">
          <cell r="A18" t="str">
            <v>XXXXXXX</v>
          </cell>
          <cell r="B18" t="str">
            <v>G353</v>
          </cell>
          <cell r="C18">
            <v>2</v>
          </cell>
          <cell r="D18" t="str">
            <v>PIPING CLASSES JOB SPECIFICATION</v>
          </cell>
          <cell r="E18" t="str">
            <v>EXTRACT FROM TOTAL SP TCS 112</v>
          </cell>
          <cell r="H18" t="str">
            <v>RP</v>
          </cell>
          <cell r="I18" t="e">
            <v>#NUM!</v>
          </cell>
        </row>
        <row r="19">
          <cell r="A19" t="str">
            <v>XXXXXXX</v>
          </cell>
          <cell r="B19" t="str">
            <v>G346</v>
          </cell>
          <cell r="C19">
            <v>1</v>
          </cell>
          <cell r="D19" t="str">
            <v>OFFSHORE POWER DISTRIBUTION</v>
          </cell>
          <cell r="E19" t="str">
            <v>PHILOSOPHY</v>
          </cell>
          <cell r="H19" t="str">
            <v>RP</v>
          </cell>
          <cell r="I19" t="e">
            <v>#NUM!</v>
          </cell>
        </row>
        <row r="20">
          <cell r="A20" t="str">
            <v>XXXXXXX</v>
          </cell>
          <cell r="B20" t="str">
            <v>G346</v>
          </cell>
          <cell r="C20" t="str">
            <v>C</v>
          </cell>
          <cell r="D20" t="str">
            <v>OFFSHORE GENERAL SINGLE LINE</v>
          </cell>
          <cell r="E20" t="str">
            <v>DIAGRAM</v>
          </cell>
          <cell r="H20" t="str">
            <v>DW</v>
          </cell>
          <cell r="I20" t="e">
            <v>#NUM!</v>
          </cell>
        </row>
        <row r="21">
          <cell r="A21" t="str">
            <v>XXXXXXX</v>
          </cell>
          <cell r="B21" t="str">
            <v>G346</v>
          </cell>
          <cell r="C21">
            <v>0</v>
          </cell>
          <cell r="D21" t="str">
            <v>LOW VOLTAGE SWITCHBOARDS/MCC</v>
          </cell>
          <cell r="E21" t="str">
            <v>ROWS A &amp; B</v>
          </cell>
          <cell r="H21" t="str">
            <v>RP</v>
          </cell>
          <cell r="I21" t="e">
            <v>#NUM!</v>
          </cell>
        </row>
        <row r="22">
          <cell r="A22" t="str">
            <v>XXXXXXX</v>
          </cell>
          <cell r="B22" t="str">
            <v>G343</v>
          </cell>
          <cell r="C22" t="str">
            <v>A</v>
          </cell>
          <cell r="D22" t="str">
            <v>DECK/WALL PENETRATION DETAILS</v>
          </cell>
          <cell r="E22" t="str">
            <v>TYPICALS DRAWING</v>
          </cell>
          <cell r="H22" t="str">
            <v>DW</v>
          </cell>
          <cell r="I22" t="e">
            <v>#NUM!</v>
          </cell>
        </row>
        <row r="23">
          <cell r="A23" t="str">
            <v>XXXXXXX</v>
          </cell>
          <cell r="B23" t="str">
            <v>G349</v>
          </cell>
          <cell r="C23">
            <v>0</v>
          </cell>
          <cell r="D23" t="str">
            <v>AIR COMPRESSOR PACKAGE U4810</v>
          </cell>
          <cell r="E23" t="str">
            <v>VHF RADIO</v>
          </cell>
          <cell r="H23" t="str">
            <v>SP</v>
          </cell>
          <cell r="I23" t="e">
            <v>#NUM!</v>
          </cell>
        </row>
        <row r="24">
          <cell r="A24" t="str">
            <v>XXXXXXX</v>
          </cell>
          <cell r="B24" t="str">
            <v>G392</v>
          </cell>
          <cell r="C24">
            <v>1</v>
          </cell>
          <cell r="D24" t="str">
            <v>SPECIFICATION FOR OFFSHORE NON</v>
          </cell>
          <cell r="E24" t="str">
            <v>DIRECTIONAL BEACON</v>
          </cell>
          <cell r="F24">
            <v>22</v>
          </cell>
          <cell r="G24">
            <v>9</v>
          </cell>
          <cell r="H24" t="str">
            <v>SP</v>
          </cell>
          <cell r="I24" t="e">
            <v>#NUM!</v>
          </cell>
        </row>
        <row r="25">
          <cell r="A25" t="str">
            <v>XXXXXXX</v>
          </cell>
          <cell r="B25" t="str">
            <v>G392</v>
          </cell>
          <cell r="C25" t="str">
            <v>A</v>
          </cell>
          <cell r="D25" t="str">
            <v>QP - SUMP &amp; WATER STORAGE DECK</v>
          </cell>
          <cell r="E25" t="str">
            <v>P.A. EQUIPMENT LAYOUT - EL. 16600</v>
          </cell>
          <cell r="F25">
            <v>22</v>
          </cell>
          <cell r="G25">
            <v>9</v>
          </cell>
          <cell r="H25" t="str">
            <v>DW</v>
          </cell>
          <cell r="I25" t="e">
            <v>#NUM!</v>
          </cell>
        </row>
        <row r="26">
          <cell r="A26" t="str">
            <v>XXXXXXX</v>
          </cell>
          <cell r="B26" t="str">
            <v>G392</v>
          </cell>
          <cell r="C26" t="str">
            <v>A</v>
          </cell>
          <cell r="D26" t="str">
            <v>QP - LOWER DECK</v>
          </cell>
          <cell r="E26" t="str">
            <v>P.A. EQUIPMENT LAYOUT - EL 21600</v>
          </cell>
          <cell r="H26" t="str">
            <v>DW</v>
          </cell>
          <cell r="I26" t="e">
            <v>#NUM!</v>
          </cell>
        </row>
        <row r="27">
          <cell r="A27" t="str">
            <v>XXXXXXX</v>
          </cell>
          <cell r="B27" t="str">
            <v>G392</v>
          </cell>
          <cell r="C27" t="str">
            <v>A</v>
          </cell>
          <cell r="D27" t="str">
            <v>QP - MEZZANINE DECK</v>
          </cell>
          <cell r="E27" t="str">
            <v>P.A. EQUIPMENT LAYOUT - EL. 24400</v>
          </cell>
          <cell r="H27" t="str">
            <v>DW</v>
          </cell>
          <cell r="I27" t="e">
            <v>#NUM!</v>
          </cell>
        </row>
        <row r="28">
          <cell r="A28" t="str">
            <v>XXXXXXX</v>
          </cell>
          <cell r="B28" t="str">
            <v>G392</v>
          </cell>
          <cell r="C28" t="str">
            <v>A</v>
          </cell>
          <cell r="D28" t="str">
            <v>QP- ACCOMMO.MOD.- ARCHIT.-PA EQPT</v>
          </cell>
          <cell r="E28" t="str">
            <v>LAY.-1ST DECK-PLAN VIEW-EL. +27600</v>
          </cell>
          <cell r="H28" t="str">
            <v>DW</v>
          </cell>
          <cell r="I28" t="e">
            <v>#NUM!</v>
          </cell>
        </row>
        <row r="29">
          <cell r="A29" t="str">
            <v>XXXXXXX</v>
          </cell>
          <cell r="B29" t="str">
            <v>G392</v>
          </cell>
          <cell r="C29" t="str">
            <v>A</v>
          </cell>
          <cell r="D29" t="str">
            <v>QP-ACCOMO.MOD.-ARCHIT.-PA EQPT LAY.</v>
          </cell>
          <cell r="E29" t="str">
            <v>2ND DECK - PLAN VIEW - EL. +31600</v>
          </cell>
          <cell r="H29" t="str">
            <v>DW</v>
          </cell>
          <cell r="I29" t="e">
            <v>#NUM!</v>
          </cell>
        </row>
        <row r="30">
          <cell r="A30" t="str">
            <v>XXXXXXX</v>
          </cell>
          <cell r="B30" t="str">
            <v>G392</v>
          </cell>
          <cell r="C30">
            <v>2</v>
          </cell>
          <cell r="D30" t="str">
            <v>SPECIFICATION FOR CCTV SYSTEM</v>
          </cell>
          <cell r="E30" t="str">
            <v>PRESSIO DETECTION - ELEVATIONS</v>
          </cell>
          <cell r="H30" t="str">
            <v>SP</v>
          </cell>
          <cell r="I30" t="e">
            <v>#NUM!</v>
          </cell>
        </row>
        <row r="31">
          <cell r="A31" t="str">
            <v>XXXXXXX</v>
          </cell>
          <cell r="B31" t="str">
            <v>G392</v>
          </cell>
          <cell r="C31">
            <v>1</v>
          </cell>
          <cell r="D31" t="str">
            <v>SPECIFICATION FOR PUBLIC ADDRESS</v>
          </cell>
          <cell r="E31" t="str">
            <v>PRESSIO DETECTION - PLAN VIEWS</v>
          </cell>
          <cell r="H31" t="str">
            <v>SP</v>
          </cell>
          <cell r="I31" t="e">
            <v>#NUM!</v>
          </cell>
        </row>
        <row r="32">
          <cell r="A32" t="str">
            <v>XXXXXXX</v>
          </cell>
          <cell r="B32" t="str">
            <v>G392</v>
          </cell>
          <cell r="C32" t="str">
            <v>A</v>
          </cell>
          <cell r="D32" t="str">
            <v>QP-ACCOMO.MOD.-ARCHIT.-PA EQPT LAY.</v>
          </cell>
          <cell r="E32" t="str">
            <v>3RD DECK - EL. +35800</v>
          </cell>
          <cell r="H32" t="str">
            <v>DW</v>
          </cell>
          <cell r="I32" t="e">
            <v>#NUM!</v>
          </cell>
        </row>
        <row r="33">
          <cell r="A33" t="str">
            <v>XXXXXXX</v>
          </cell>
          <cell r="B33" t="str">
            <v>G392</v>
          </cell>
          <cell r="C33" t="str">
            <v>A</v>
          </cell>
          <cell r="D33" t="str">
            <v>QP-ACCOMO.MOD.-ARCHIT.-PA EQPT LAY.</v>
          </cell>
          <cell r="E33" t="str">
            <v>4TH DECK - EL. +39600</v>
          </cell>
          <cell r="H33" t="str">
            <v>DW</v>
          </cell>
          <cell r="I33" t="e">
            <v>#NUM!</v>
          </cell>
        </row>
        <row r="34">
          <cell r="A34" t="str">
            <v>XXXXXXX</v>
          </cell>
          <cell r="B34" t="str">
            <v>G392</v>
          </cell>
          <cell r="C34" t="str">
            <v>A</v>
          </cell>
          <cell r="D34" t="str">
            <v>QP - HELIDECK DECK - P.A EQUIPMENT</v>
          </cell>
          <cell r="E34" t="str">
            <v>LAYOUT - EL. 45100</v>
          </cell>
          <cell r="H34" t="str">
            <v>DW</v>
          </cell>
          <cell r="I34" t="e">
            <v>#NUM!</v>
          </cell>
        </row>
        <row r="35">
          <cell r="A35" t="str">
            <v>XXXXXXX</v>
          </cell>
          <cell r="B35" t="str">
            <v>G346</v>
          </cell>
          <cell r="C35">
            <v>0</v>
          </cell>
          <cell r="D35" t="str">
            <v>OFFSHORE GENERAL LOAD</v>
          </cell>
          <cell r="E35" t="str">
            <v>SUMMARY</v>
          </cell>
          <cell r="H35" t="str">
            <v>NC</v>
          </cell>
          <cell r="I35" t="e">
            <v>#NUM!</v>
          </cell>
        </row>
        <row r="36">
          <cell r="A36" t="str">
            <v>XXXXXXX</v>
          </cell>
          <cell r="B36" t="str">
            <v>G346</v>
          </cell>
          <cell r="C36">
            <v>0</v>
          </cell>
          <cell r="D36" t="str">
            <v>OFFSHORE GENERAL CONSUMER LIST</v>
          </cell>
          <cell r="E36" t="str">
            <v>PLOT PLAN</v>
          </cell>
          <cell r="H36" t="str">
            <v>NM</v>
          </cell>
          <cell r="I36" t="e">
            <v>#NUM!</v>
          </cell>
        </row>
        <row r="37">
          <cell r="A37" t="str">
            <v>XXXXXXX</v>
          </cell>
          <cell r="B37" t="str">
            <v>G343</v>
          </cell>
          <cell r="C37">
            <v>2</v>
          </cell>
          <cell r="D37" t="str">
            <v>HVAC BASIS OF DESIGN SPECIFICATION</v>
          </cell>
          <cell r="E37" t="str">
            <v>DIAGRAM</v>
          </cell>
          <cell r="H37" t="str">
            <v>RP</v>
          </cell>
          <cell r="I37" t="e">
            <v>#NUM!</v>
          </cell>
        </row>
        <row r="38">
          <cell r="A38" t="str">
            <v>XXXXXXX</v>
          </cell>
          <cell r="B38" t="str">
            <v>G353</v>
          </cell>
          <cell r="C38" t="str">
            <v>B</v>
          </cell>
          <cell r="D38" t="str">
            <v>QUARTERS PLATFORM - QP</v>
          </cell>
          <cell r="E38" t="str">
            <v>SUMP &amp; STORAGE - PLOT PLAN</v>
          </cell>
          <cell r="H38" t="str">
            <v>DW</v>
          </cell>
          <cell r="I38" t="e">
            <v>#NUM!</v>
          </cell>
        </row>
        <row r="39">
          <cell r="A39" t="str">
            <v>XXXXXXX</v>
          </cell>
          <cell r="B39" t="str">
            <v>G353</v>
          </cell>
          <cell r="C39" t="str">
            <v>B</v>
          </cell>
          <cell r="D39" t="str">
            <v>QUARTERS PLATFORM - QP</v>
          </cell>
          <cell r="E39" t="str">
            <v>LOWER DECK - PLOT PLAN</v>
          </cell>
          <cell r="H39" t="str">
            <v>DW</v>
          </cell>
          <cell r="I39" t="e">
            <v>#NUM!</v>
          </cell>
        </row>
        <row r="40">
          <cell r="A40" t="str">
            <v>XXXXXXX</v>
          </cell>
          <cell r="B40" t="str">
            <v>G353</v>
          </cell>
          <cell r="C40" t="str">
            <v>B</v>
          </cell>
          <cell r="D40" t="str">
            <v>QUARTERS PLATFORM - QP</v>
          </cell>
          <cell r="E40" t="str">
            <v>HELIDECK - PLOT PLAN     -</v>
          </cell>
          <cell r="H40" t="str">
            <v>DW</v>
          </cell>
          <cell r="I40" t="e">
            <v>#NUM!</v>
          </cell>
        </row>
        <row r="41">
          <cell r="A41" t="str">
            <v>XXXXXXX</v>
          </cell>
          <cell r="B41" t="str">
            <v>G353</v>
          </cell>
          <cell r="C41" t="str">
            <v>B</v>
          </cell>
          <cell r="D41" t="str">
            <v>QUARTERS PLATFORM - QP</v>
          </cell>
          <cell r="E41" t="str">
            <v>HELIDECK - LEVEL 45100</v>
          </cell>
          <cell r="H41" t="str">
            <v>DW</v>
          </cell>
          <cell r="I41" t="e">
            <v>#NUM!</v>
          </cell>
        </row>
        <row r="42">
          <cell r="A42" t="str">
            <v>XXXXXXX</v>
          </cell>
          <cell r="B42" t="str">
            <v>G349</v>
          </cell>
          <cell r="C42">
            <v>1</v>
          </cell>
          <cell r="D42" t="str">
            <v>FIRE WATER PP U4750 A/B</v>
          </cell>
          <cell r="E42" t="str">
            <v>SAVING AND ESCAPE ROUTES LAYOUTS</v>
          </cell>
          <cell r="H42" t="str">
            <v>SP</v>
          </cell>
          <cell r="I42" t="e">
            <v>#NUM!</v>
          </cell>
        </row>
        <row r="43">
          <cell r="A43" t="str">
            <v>XXXXXXX</v>
          </cell>
          <cell r="B43" t="str">
            <v>G352</v>
          </cell>
          <cell r="C43">
            <v>0</v>
          </cell>
          <cell r="D43" t="str">
            <v>QP - FIRE &amp; GAS CAUSE AND</v>
          </cell>
          <cell r="E43" t="str">
            <v>EFFECT CHARTS</v>
          </cell>
          <cell r="H43" t="str">
            <v>SP</v>
          </cell>
          <cell r="I43" t="e">
            <v>#NUM!</v>
          </cell>
        </row>
        <row r="44">
          <cell r="A44" t="str">
            <v>XXXXXXX</v>
          </cell>
          <cell r="B44" t="str">
            <v>G343</v>
          </cell>
          <cell r="C44">
            <v>0</v>
          </cell>
          <cell r="D44" t="str">
            <v>QP - HVAC SPECIFICATION</v>
          </cell>
          <cell r="E44" t="str">
            <v>SAVING AND ESCAPE ROUTES LAYOUTS</v>
          </cell>
          <cell r="H44" t="str">
            <v>SP</v>
          </cell>
          <cell r="I44" t="e">
            <v>#NUM!</v>
          </cell>
        </row>
        <row r="45">
          <cell r="A45" t="str">
            <v>XXXXXXX</v>
          </cell>
          <cell r="B45" t="str">
            <v>G347</v>
          </cell>
          <cell r="C45" t="str">
            <v>B</v>
          </cell>
          <cell r="D45" t="str">
            <v>ACCOMODATION MODULE-ARCHITECTURE</v>
          </cell>
          <cell r="E45" t="str">
            <v>4TH DECK PLAN VIEW</v>
          </cell>
          <cell r="H45" t="str">
            <v>DW</v>
          </cell>
          <cell r="I45" t="e">
            <v>#NUM!</v>
          </cell>
        </row>
        <row r="46">
          <cell r="A46" t="str">
            <v>XXXXXXX</v>
          </cell>
          <cell r="B46" t="str">
            <v>G347</v>
          </cell>
          <cell r="C46" t="str">
            <v>B</v>
          </cell>
          <cell r="D46" t="str">
            <v>ACCOMODATION MODULE-ARCHITECTURE</v>
          </cell>
          <cell r="E46" t="str">
            <v>3RD DECK PLAN VIEW</v>
          </cell>
          <cell r="H46" t="str">
            <v>DW</v>
          </cell>
          <cell r="I46" t="e">
            <v>#NUM!</v>
          </cell>
        </row>
        <row r="47">
          <cell r="A47" t="str">
            <v>XXXXXXX</v>
          </cell>
          <cell r="B47" t="str">
            <v>G347</v>
          </cell>
          <cell r="C47" t="str">
            <v>B</v>
          </cell>
          <cell r="D47" t="str">
            <v>ACCOMODATION MODULE-ARCHITECTURE</v>
          </cell>
          <cell r="E47" t="str">
            <v>2ND DECK PLAN VIEW</v>
          </cell>
          <cell r="H47" t="str">
            <v>DW</v>
          </cell>
          <cell r="I47" t="e">
            <v>#NUM!</v>
          </cell>
        </row>
        <row r="48">
          <cell r="A48" t="str">
            <v>XXXXXXX</v>
          </cell>
          <cell r="B48" t="str">
            <v>G347</v>
          </cell>
          <cell r="C48" t="str">
            <v>B</v>
          </cell>
          <cell r="D48" t="str">
            <v>ACCOMODATION MODULE-ARCHITECTURE</v>
          </cell>
          <cell r="E48" t="str">
            <v>1ST DECK PLAN VIEW</v>
          </cell>
          <cell r="H48" t="str">
            <v>DW</v>
          </cell>
          <cell r="I48" t="e">
            <v>#NUM!</v>
          </cell>
        </row>
        <row r="49">
          <cell r="A49" t="str">
            <v>XXXXXXX</v>
          </cell>
          <cell r="B49" t="str">
            <v>G347</v>
          </cell>
          <cell r="C49" t="str">
            <v>A</v>
          </cell>
          <cell r="D49" t="str">
            <v>ACCOMODATION MODULE-ARCHITECTURE</v>
          </cell>
          <cell r="E49" t="str">
            <v>ELEVATIONS NORTH &amp; SOUTH FACE</v>
          </cell>
          <cell r="H49" t="str">
            <v>DW</v>
          </cell>
          <cell r="I49" t="e">
            <v>#NUM!</v>
          </cell>
        </row>
        <row r="50">
          <cell r="A50" t="str">
            <v>XXXXXXX</v>
          </cell>
          <cell r="B50" t="str">
            <v>G347</v>
          </cell>
          <cell r="C50" t="str">
            <v>A</v>
          </cell>
          <cell r="D50" t="str">
            <v>ACCOMODATION MODULE-ARCHITECTURE</v>
          </cell>
          <cell r="E50" t="str">
            <v>ELEVATIONS EAST &amp; WEST FACE</v>
          </cell>
          <cell r="H50" t="str">
            <v>DW</v>
          </cell>
          <cell r="I50" t="e">
            <v>#NUM!</v>
          </cell>
        </row>
        <row r="51">
          <cell r="A51" t="str">
            <v>XXXXXXX</v>
          </cell>
          <cell r="B51" t="str">
            <v>G347</v>
          </cell>
          <cell r="C51" t="str">
            <v>A</v>
          </cell>
          <cell r="D51" t="str">
            <v>PP - MSF - STAIRWAYS</v>
          </cell>
          <cell r="E51" t="str">
            <v>PACKAGE UNITS</v>
          </cell>
          <cell r="H51" t="str">
            <v>DW</v>
          </cell>
          <cell r="I51" t="e">
            <v>#NUM!</v>
          </cell>
        </row>
        <row r="52">
          <cell r="B52" t="str">
            <v>G347</v>
          </cell>
          <cell r="C52" t="str">
            <v>A</v>
          </cell>
          <cell r="D52" t="str">
            <v>UTILITIES MODULE - WEATHER DECK</v>
          </cell>
          <cell r="E52" t="str">
            <v>PLAN VIEW</v>
          </cell>
          <cell r="H52" t="str">
            <v>DW</v>
          </cell>
        </row>
        <row r="53">
          <cell r="B53" t="str">
            <v>G347</v>
          </cell>
          <cell r="C53" t="str">
            <v>A</v>
          </cell>
          <cell r="D53" t="str">
            <v>UTILITIES MODULE-MEZZANINE DECK</v>
          </cell>
          <cell r="E53" t="str">
            <v>PLAN VIEW</v>
          </cell>
          <cell r="H53" t="str">
            <v>DW</v>
          </cell>
        </row>
        <row r="54">
          <cell r="B54" t="str">
            <v>G347</v>
          </cell>
          <cell r="C54" t="str">
            <v>A</v>
          </cell>
          <cell r="D54" t="str">
            <v>UTILITIES MODULE - LOWER DECK</v>
          </cell>
          <cell r="E54" t="str">
            <v>PLAN VIEW</v>
          </cell>
          <cell r="H54" t="str">
            <v>DW</v>
          </cell>
        </row>
        <row r="55">
          <cell r="B55" t="str">
            <v>G347</v>
          </cell>
          <cell r="C55" t="str">
            <v>A</v>
          </cell>
          <cell r="D55" t="str">
            <v>UTILITIES MODULE - ELEVATION</v>
          </cell>
          <cell r="E55" t="str">
            <v>ROWS C &amp; D</v>
          </cell>
          <cell r="H55" t="str">
            <v>DW</v>
          </cell>
        </row>
        <row r="56">
          <cell r="B56" t="str">
            <v>G347</v>
          </cell>
          <cell r="C56" t="str">
            <v>A</v>
          </cell>
          <cell r="D56" t="str">
            <v>UTILITIES MODULE - ELEVATION</v>
          </cell>
          <cell r="E56" t="str">
            <v>ROWS 1 &amp; 2</v>
          </cell>
          <cell r="H56" t="str">
            <v>DW</v>
          </cell>
        </row>
        <row r="57">
          <cell r="B57" t="str">
            <v>G347</v>
          </cell>
          <cell r="C57" t="str">
            <v>A</v>
          </cell>
          <cell r="D57" t="str">
            <v>UTILITIES MODULE -</v>
          </cell>
          <cell r="E57" t="str">
            <v>TYPICAL CONNECTION DETAILS</v>
          </cell>
          <cell r="H57" t="str">
            <v>DW</v>
          </cell>
        </row>
        <row r="58">
          <cell r="B58" t="str">
            <v>G347</v>
          </cell>
          <cell r="C58" t="str">
            <v>A</v>
          </cell>
          <cell r="D58" t="str">
            <v>UTILITIES MODULE - STAIRWAYS</v>
          </cell>
          <cell r="E58" t="str">
            <v>ELECTRICAL SPECIFICATION</v>
          </cell>
          <cell r="H58" t="str">
            <v>DW</v>
          </cell>
        </row>
        <row r="59">
          <cell r="B59" t="str">
            <v>G347</v>
          </cell>
          <cell r="C59" t="str">
            <v>A</v>
          </cell>
          <cell r="D59" t="str">
            <v>PROCESS MODULE 1-TOP DECK</v>
          </cell>
          <cell r="E59" t="str">
            <v>PLAN VIEW</v>
          </cell>
          <cell r="H59" t="str">
            <v>DW</v>
          </cell>
        </row>
        <row r="60">
          <cell r="B60" t="str">
            <v>G347</v>
          </cell>
          <cell r="C60" t="str">
            <v>A</v>
          </cell>
          <cell r="D60" t="str">
            <v>PROCESS MODULE 1-MEZZANINE DECK</v>
          </cell>
          <cell r="E60" t="str">
            <v>PLAN VIEW</v>
          </cell>
          <cell r="H60" t="str">
            <v>DW</v>
          </cell>
        </row>
        <row r="61">
          <cell r="B61" t="str">
            <v>G347</v>
          </cell>
          <cell r="C61" t="str">
            <v>A</v>
          </cell>
          <cell r="D61" t="str">
            <v>PROCESS MODULE 1-LOWER DECK</v>
          </cell>
          <cell r="E61" t="str">
            <v>PLAN VIEW</v>
          </cell>
          <cell r="H61" t="str">
            <v>DW</v>
          </cell>
        </row>
        <row r="62">
          <cell r="B62" t="str">
            <v>G347</v>
          </cell>
          <cell r="C62" t="str">
            <v>A</v>
          </cell>
          <cell r="D62" t="str">
            <v>PROCESS MODULE 1-ELEVATION</v>
          </cell>
          <cell r="E62" t="str">
            <v>ROWS A &amp; B</v>
          </cell>
          <cell r="H62" t="str">
            <v>DW</v>
          </cell>
        </row>
        <row r="63">
          <cell r="B63" t="str">
            <v>G347</v>
          </cell>
          <cell r="C63" t="str">
            <v>A</v>
          </cell>
          <cell r="D63" t="str">
            <v>PROCESS MODULE 1-ELEVATION</v>
          </cell>
          <cell r="E63" t="str">
            <v>ROWS 1 &amp; 2</v>
          </cell>
          <cell r="H63" t="str">
            <v>DW</v>
          </cell>
        </row>
        <row r="64">
          <cell r="B64" t="str">
            <v>G347</v>
          </cell>
          <cell r="C64" t="str">
            <v>A</v>
          </cell>
          <cell r="D64" t="str">
            <v>PROCESS MODULE 1-STAIRWAYS</v>
          </cell>
          <cell r="H64" t="str">
            <v>DW</v>
          </cell>
        </row>
        <row r="65">
          <cell r="B65" t="str">
            <v>G347</v>
          </cell>
          <cell r="C65" t="str">
            <v>A</v>
          </cell>
          <cell r="D65" t="str">
            <v>PROCESS MODULE 2 - UPPER DECK</v>
          </cell>
          <cell r="E65" t="str">
            <v>PLAN VIEW</v>
          </cell>
          <cell r="H65" t="str">
            <v>DW</v>
          </cell>
        </row>
        <row r="66">
          <cell r="B66" t="str">
            <v>G347</v>
          </cell>
          <cell r="C66" t="str">
            <v>A</v>
          </cell>
          <cell r="D66" t="str">
            <v>PROCESS MODULE 2 - WEATHER DECK</v>
          </cell>
          <cell r="E66" t="str">
            <v>PLAN VIEW</v>
          </cell>
          <cell r="H66" t="str">
            <v>DW</v>
          </cell>
        </row>
        <row r="67">
          <cell r="B67" t="str">
            <v>G347</v>
          </cell>
          <cell r="C67" t="str">
            <v>A</v>
          </cell>
          <cell r="D67" t="str">
            <v>PROCESS MODULE 2 - ELEVATION</v>
          </cell>
          <cell r="E67" t="str">
            <v>ROWS A &amp; B</v>
          </cell>
          <cell r="H67" t="str">
            <v>DW</v>
          </cell>
        </row>
        <row r="68">
          <cell r="B68" t="str">
            <v>G347</v>
          </cell>
          <cell r="C68" t="str">
            <v>A</v>
          </cell>
          <cell r="D68" t="str">
            <v>PROCESS MODULE 2 - ELEVATION</v>
          </cell>
          <cell r="E68" t="str">
            <v>ROWS 1 &amp; 2</v>
          </cell>
          <cell r="H68" t="str">
            <v>DW</v>
          </cell>
        </row>
        <row r="69">
          <cell r="B69" t="str">
            <v>G347</v>
          </cell>
          <cell r="C69" t="str">
            <v>A</v>
          </cell>
          <cell r="D69" t="str">
            <v>ELEVATION ROWS A &amp; B</v>
          </cell>
          <cell r="H69" t="str">
            <v>DW</v>
          </cell>
        </row>
        <row r="70">
          <cell r="B70" t="str">
            <v>G347</v>
          </cell>
          <cell r="C70" t="str">
            <v>A</v>
          </cell>
          <cell r="D70" t="str">
            <v>ELEVATION ROWS 1 &amp; 2</v>
          </cell>
          <cell r="H70" t="str">
            <v>DW</v>
          </cell>
        </row>
        <row r="71">
          <cell r="B71" t="str">
            <v>G347</v>
          </cell>
          <cell r="C71" t="str">
            <v>A</v>
          </cell>
          <cell r="D71" t="str">
            <v>PLAN VIEW EL. +7000</v>
          </cell>
          <cell r="E71" t="str">
            <v>ARCHITECTURE</v>
          </cell>
          <cell r="H71" t="str">
            <v>DW</v>
          </cell>
        </row>
        <row r="72">
          <cell r="B72" t="str">
            <v>G347</v>
          </cell>
          <cell r="C72" t="str">
            <v>A</v>
          </cell>
          <cell r="D72" t="str">
            <v>PLAN VIEW EL. -8000 &amp; EL. -25000</v>
          </cell>
          <cell r="H72" t="str">
            <v>DW</v>
          </cell>
        </row>
        <row r="73">
          <cell r="B73" t="str">
            <v>G347</v>
          </cell>
          <cell r="C73" t="str">
            <v>A</v>
          </cell>
          <cell r="D73" t="str">
            <v>PLAN VIEW EL. -44600</v>
          </cell>
          <cell r="H73" t="str">
            <v>DW</v>
          </cell>
        </row>
        <row r="74">
          <cell r="B74" t="str">
            <v>G347</v>
          </cell>
          <cell r="C74" t="str">
            <v>A</v>
          </cell>
          <cell r="D74" t="str">
            <v>PILES</v>
          </cell>
          <cell r="H74" t="str">
            <v>DW</v>
          </cell>
        </row>
        <row r="75">
          <cell r="B75" t="str">
            <v>G347</v>
          </cell>
          <cell r="C75" t="str">
            <v>A</v>
          </cell>
          <cell r="D75" t="str">
            <v>QP - JACKET - CATHODIC PROTECTION</v>
          </cell>
          <cell r="H75" t="str">
            <v>DW</v>
          </cell>
        </row>
        <row r="76">
          <cell r="B76" t="str">
            <v>G347</v>
          </cell>
          <cell r="C76" t="str">
            <v>A</v>
          </cell>
          <cell r="D76" t="str">
            <v>QP - JACKET</v>
          </cell>
          <cell r="E76" t="str">
            <v>PRESSIO DETECTION - ELEVATIONS</v>
          </cell>
          <cell r="H76" t="str">
            <v>DW</v>
          </cell>
        </row>
        <row r="77">
          <cell r="B77" t="str">
            <v>G347</v>
          </cell>
          <cell r="C77" t="str">
            <v>A</v>
          </cell>
          <cell r="D77" t="str">
            <v>QP - JACKET</v>
          </cell>
          <cell r="E77" t="str">
            <v>PRESSIO DETECTION - PLAN VIEWS</v>
          </cell>
          <cell r="H77" t="str">
            <v>DW</v>
          </cell>
        </row>
        <row r="78">
          <cell r="B78" t="str">
            <v>G347</v>
          </cell>
          <cell r="C78" t="str">
            <v>A</v>
          </cell>
          <cell r="D78" t="str">
            <v>QP - JACKET</v>
          </cell>
          <cell r="E78" t="str">
            <v>BOAT ACCESS &amp; LEG PROTECTION</v>
          </cell>
          <cell r="H78" t="str">
            <v>DW</v>
          </cell>
        </row>
        <row r="79">
          <cell r="B79" t="str">
            <v>G332</v>
          </cell>
          <cell r="C79" t="str">
            <v>A</v>
          </cell>
          <cell r="D79" t="str">
            <v>OVERALL PROJECT SCHEDULE</v>
          </cell>
          <cell r="E79" t="str">
            <v>20 SHEETS</v>
          </cell>
          <cell r="H79" t="str">
            <v>PLG</v>
          </cell>
        </row>
        <row r="80">
          <cell r="B80" t="str">
            <v>G312</v>
          </cell>
          <cell r="C80" t="str">
            <v>A</v>
          </cell>
          <cell r="D80" t="str">
            <v>OBITE - PROCESS &amp; UTILITIES LINE</v>
          </cell>
          <cell r="E80" t="str">
            <v>INDEX</v>
          </cell>
          <cell r="H80" t="str">
            <v>LD</v>
          </cell>
        </row>
        <row r="81">
          <cell r="B81" t="str">
            <v>G312</v>
          </cell>
          <cell r="C81" t="str">
            <v>A</v>
          </cell>
          <cell r="D81" t="str">
            <v>OBITE - HP FLARE KO DRUM &amp; PUMPS</v>
          </cell>
          <cell r="H81" t="str">
            <v>PID</v>
          </cell>
        </row>
        <row r="82">
          <cell r="B82" t="str">
            <v>G312</v>
          </cell>
          <cell r="C82" t="str">
            <v>A</v>
          </cell>
          <cell r="D82" t="str">
            <v>OBITE - LP FLARE KO DRUM &amp; PUMPS</v>
          </cell>
          <cell r="H82" t="str">
            <v>PID</v>
          </cell>
        </row>
        <row r="83">
          <cell r="B83" t="str">
            <v>G312</v>
          </cell>
          <cell r="C83" t="str">
            <v>A</v>
          </cell>
          <cell r="D83" t="str">
            <v>OBITE - LP AND HP FLARE</v>
          </cell>
          <cell r="H83" t="str">
            <v>PID</v>
          </cell>
        </row>
        <row r="84">
          <cell r="B84" t="str">
            <v>G312</v>
          </cell>
          <cell r="C84" t="str">
            <v>A</v>
          </cell>
          <cell r="D84" t="str">
            <v>OBITE - HP FUEL KO DRUM AND</v>
          </cell>
          <cell r="E84" t="str">
            <v>ELECTRICAL HEADERS</v>
          </cell>
          <cell r="H84" t="str">
            <v>PID</v>
          </cell>
        </row>
        <row r="85">
          <cell r="B85" t="str">
            <v>G312</v>
          </cell>
          <cell r="C85" t="str">
            <v>A</v>
          </cell>
          <cell r="D85" t="str">
            <v>OBITE - HP FUEL GAS FILTERS AND</v>
          </cell>
          <cell r="E85" t="str">
            <v>HP FUEL GAS KO DRUM</v>
          </cell>
          <cell r="H85" t="str">
            <v>PID</v>
          </cell>
        </row>
        <row r="86">
          <cell r="B86" t="str">
            <v>G312</v>
          </cell>
          <cell r="C86" t="str">
            <v>A</v>
          </cell>
          <cell r="D86" t="str">
            <v>OBITE - AIR COMPRESSOR &amp; SERVICE</v>
          </cell>
          <cell r="E86" t="str">
            <v>AIR BUFFER DRUM</v>
          </cell>
          <cell r="H86" t="str">
            <v>PID</v>
          </cell>
        </row>
        <row r="87">
          <cell r="B87" t="str">
            <v>G312</v>
          </cell>
          <cell r="C87" t="str">
            <v>A</v>
          </cell>
          <cell r="D87" t="str">
            <v>OBITE - AIR DRIER PACKAGE AND</v>
          </cell>
          <cell r="E87" t="str">
            <v>INSTRUMENT AIR BUFFER DRUM</v>
          </cell>
          <cell r="H87" t="str">
            <v>PID</v>
          </cell>
        </row>
        <row r="88">
          <cell r="B88" t="str">
            <v>G312</v>
          </cell>
          <cell r="C88" t="str">
            <v>A</v>
          </cell>
          <cell r="D88" t="str">
            <v>OBITE - DIESEL STORAGE AND</v>
          </cell>
          <cell r="E88" t="str">
            <v>TRANSFER PUMP</v>
          </cell>
          <cell r="H88" t="str">
            <v>PID</v>
          </cell>
        </row>
        <row r="89">
          <cell r="B89" t="str">
            <v>G312</v>
          </cell>
          <cell r="C89" t="str">
            <v>A</v>
          </cell>
          <cell r="D89" t="str">
            <v>OBITE - DIESEL OIL TREATMENT</v>
          </cell>
          <cell r="H89" t="str">
            <v>PID</v>
          </cell>
        </row>
        <row r="90">
          <cell r="B90" t="str">
            <v>G312</v>
          </cell>
          <cell r="C90" t="str">
            <v>A</v>
          </cell>
          <cell r="D90" t="str">
            <v>OBITE - CLOSED DRAIN DRUM</v>
          </cell>
          <cell r="H90" t="str">
            <v>PID</v>
          </cell>
        </row>
        <row r="91">
          <cell r="B91" t="str">
            <v>G312</v>
          </cell>
          <cell r="C91" t="str">
            <v>A</v>
          </cell>
          <cell r="D91" t="str">
            <v>OBITE - METHANOL</v>
          </cell>
          <cell r="H91" t="str">
            <v>PID</v>
          </cell>
        </row>
        <row r="92">
          <cell r="B92" t="str">
            <v>G312</v>
          </cell>
          <cell r="C92" t="str">
            <v>A</v>
          </cell>
          <cell r="D92" t="str">
            <v>OBAGI - PROCESS &amp; UTILITIES LINE</v>
          </cell>
          <cell r="E92" t="str">
            <v>INDEX</v>
          </cell>
          <cell r="H92" t="str">
            <v>LD</v>
          </cell>
        </row>
        <row r="93">
          <cell r="B93" t="str">
            <v>G312</v>
          </cell>
          <cell r="C93" t="str">
            <v>A</v>
          </cell>
          <cell r="D93" t="str">
            <v>OBAGI - HP FUEL GAS KO DRUM AND</v>
          </cell>
          <cell r="E93" t="str">
            <v>ELECTRICAL HEATERS</v>
          </cell>
          <cell r="H93" t="str">
            <v>PID</v>
          </cell>
        </row>
        <row r="94">
          <cell r="B94" t="str">
            <v>G312</v>
          </cell>
          <cell r="C94" t="str">
            <v>A</v>
          </cell>
          <cell r="D94" t="str">
            <v>OBAGI - AIR COMPRESSORS AND</v>
          </cell>
          <cell r="E94" t="str">
            <v>SERVICES AIR BUFFER DRUM</v>
          </cell>
          <cell r="H94" t="str">
            <v>PID</v>
          </cell>
        </row>
        <row r="95">
          <cell r="B95" t="str">
            <v>G312</v>
          </cell>
          <cell r="C95" t="str">
            <v>A</v>
          </cell>
          <cell r="D95" t="str">
            <v>OBAGI - AIR DRIER PACKAGE AND</v>
          </cell>
          <cell r="E95" t="str">
            <v>INSTRUMENT AIR BUFFER DRUM</v>
          </cell>
          <cell r="H95" t="str">
            <v>PID</v>
          </cell>
        </row>
        <row r="96">
          <cell r="B96" t="str">
            <v>G312</v>
          </cell>
          <cell r="C96" t="str">
            <v>A</v>
          </cell>
          <cell r="D96" t="str">
            <v>OBAGI - OPEN DRAIN SYSTEM</v>
          </cell>
          <cell r="H96" t="str">
            <v>PID</v>
          </cell>
        </row>
        <row r="97">
          <cell r="B97" t="str">
            <v>G312</v>
          </cell>
          <cell r="C97" t="str">
            <v>A</v>
          </cell>
          <cell r="D97" t="str">
            <v>OBAGI - CORROSION INHIBITOR,</v>
          </cell>
          <cell r="E97" t="str">
            <v>ADDITIVE &amp; METHANOL</v>
          </cell>
          <cell r="H97" t="str">
            <v>PID</v>
          </cell>
        </row>
        <row r="98">
          <cell r="B98" t="str">
            <v>G332</v>
          </cell>
          <cell r="C98" t="str">
            <v>A</v>
          </cell>
          <cell r="D98" t="str">
            <v>SUPPLIER DRAWINGS &amp; DOCUMENTS</v>
          </cell>
          <cell r="H98" t="str">
            <v>DB</v>
          </cell>
        </row>
        <row r="99">
          <cell r="B99" t="str">
            <v>G349</v>
          </cell>
          <cell r="C99" t="str">
            <v>A</v>
          </cell>
          <cell r="D99" t="str">
            <v>OBITE - DOCUMENT PROVIDED BY</v>
          </cell>
          <cell r="E99" t="str">
            <v>SUPPLIER - TURBINE GENERATOR</v>
          </cell>
          <cell r="H99" t="str">
            <v>SP</v>
          </cell>
        </row>
        <row r="100">
          <cell r="B100" t="str">
            <v>G349</v>
          </cell>
          <cell r="C100" t="str">
            <v>A</v>
          </cell>
          <cell r="D100" t="str">
            <v>OBAGI - DOCUMENT PROVIDED BY</v>
          </cell>
          <cell r="E100" t="str">
            <v>SUPPLIER - CENTRIFUGAL COMPRESSOR</v>
          </cell>
          <cell r="H100" t="str">
            <v>SP</v>
          </cell>
        </row>
      </sheetData>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CC-01"/>
      <sheetName val="PCC-02"/>
      <sheetName val="PCC-03"/>
      <sheetName val="EPMCC-01"/>
      <sheetName val="MCC-01 "/>
      <sheetName val="MCC-02"/>
      <sheetName val="ASB-01"/>
      <sheetName val="LDB-01 "/>
      <sheetName val="ELDB-01 "/>
      <sheetName val="Basis"/>
      <sheetName val="EF_PF"/>
      <sheetName val="Shee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ING SHEET SS#35"/>
      <sheetName val="working sheet"/>
      <sheetName val="Backup"/>
      <sheetName val="Civil &amp; Structral  MTO summary "/>
      <sheetName val="Backup qty"/>
      <sheetName val="Back-up qtys."/>
      <sheetName val="AGEU&amp;TGTU "/>
      <sheetName val="Sheet3"/>
      <sheetName val="FT-05-02IsoBOM"/>
      <sheetName val="Civil BOQ R1 new sor format"/>
      <sheetName val="Sheet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SV LIST"/>
      <sheetName val="Rating"/>
      <sheetName val="GAS"/>
      <sheetName val="GAS Common line"/>
      <sheetName val="API 526(C)"/>
      <sheetName val="API 526(B)"/>
      <sheetName val="API 526(P)"/>
      <sheetName val="LIQUID"/>
      <sheetName val="STEAM"/>
      <sheetName val="Mixed phase Flashing"/>
      <sheetName val="Mixed phase NONFlashing"/>
      <sheetName val="Subcooled Flashing liquid"/>
      <sheetName val="SCHEDULES"/>
      <sheetName val="PIPING-CLASS"/>
      <sheetName val="PIPING-CLASS TOTAL"/>
      <sheetName val="PIPING-CLASS SONATRACH"/>
      <sheetName val="PIPING-CLASS NEW"/>
      <sheetName val="CRITERIA"/>
      <sheetName val="USER GUIDE"/>
      <sheetName val="Sheet1"/>
      <sheetName val="WORKING SHEET SS#35"/>
    </sheetNames>
    <sheetDataSet>
      <sheetData sheetId="0">
        <row r="254">
          <cell r="A254" t="str">
            <v>TOTAL</v>
          </cell>
        </row>
      </sheetData>
      <sheetData sheetId="1"/>
      <sheetData sheetId="2"/>
      <sheetData sheetId="3"/>
      <sheetData sheetId="4"/>
      <sheetData sheetId="5">
        <row r="1">
          <cell r="A1" t="str">
            <v>D</v>
          </cell>
        </row>
      </sheetData>
      <sheetData sheetId="6">
        <row r="1">
          <cell r="A1" t="str">
            <v>D</v>
          </cell>
        </row>
      </sheetData>
      <sheetData sheetId="7">
        <row r="1">
          <cell r="A1" t="str">
            <v>D</v>
          </cell>
        </row>
      </sheetData>
      <sheetData sheetId="8"/>
      <sheetData sheetId="9"/>
      <sheetData sheetId="10"/>
      <sheetData sheetId="11"/>
      <sheetData sheetId="12"/>
      <sheetData sheetId="13">
        <row r="5">
          <cell r="B5">
            <v>0.5</v>
          </cell>
        </row>
      </sheetData>
      <sheetData sheetId="14">
        <row r="4">
          <cell r="A4" t="str">
            <v>DN (inch)</v>
          </cell>
        </row>
      </sheetData>
      <sheetData sheetId="15"/>
      <sheetData sheetId="16"/>
      <sheetData sheetId="17"/>
      <sheetData sheetId="18"/>
      <sheetData sheetId="19"/>
      <sheetData sheetId="20" refreshError="1"/>
      <sheetData sheetId="2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of Isolated Footing"/>
      <sheetName val="Default Values"/>
      <sheetName val="Weight of Soil"/>
      <sheetName val="Shear Table"/>
      <sheetName val="Punching Shear"/>
      <sheetName val="Moment Coefficients"/>
      <sheetName val="Design"/>
      <sheetName val="CALC"/>
    </sheetNames>
    <sheetDataSet>
      <sheetData sheetId="0" refreshError="1"/>
      <sheetData sheetId="1" refreshError="1">
        <row r="6">
          <cell r="E6">
            <v>25</v>
          </cell>
        </row>
        <row r="17">
          <cell r="E17">
            <v>1.4</v>
          </cell>
        </row>
        <row r="18">
          <cell r="E18">
            <v>1.4</v>
          </cell>
        </row>
        <row r="19">
          <cell r="E19">
            <v>0.4</v>
          </cell>
        </row>
        <row r="20">
          <cell r="E20">
            <v>25</v>
          </cell>
        </row>
        <row r="21">
          <cell r="E21">
            <v>20</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erences"/>
      <sheetName val="SCHEDULES"/>
      <sheetName val="API 526(B)"/>
      <sheetName val="API 526(C)"/>
      <sheetName val="API 526(P)"/>
      <sheetName val="Cover 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nc4"/>
      <sheetName val="DATA"/>
      <sheetName val="WORKING SHEET SS#35"/>
      <sheetName val="Dywidaq(Final)"/>
      <sheetName val="Dywidaq"/>
      <sheetName val="Rev.4"/>
      <sheetName val="plan&amp;section of foundation"/>
      <sheetName val="pile bearing capa &amp; arrenge"/>
      <sheetName val="design load"/>
      <sheetName val="working load at the btm ft."/>
      <sheetName val="stability check"/>
      <sheetName val="design criteria"/>
      <sheetName val="Chiet tinh dz35"/>
      <sheetName val="Sheet1"/>
      <sheetName val="Chiet tinh dz22"/>
      <sheetName val="DESCRIPTION"/>
      <sheetName val="BM DATA SHEET"/>
      <sheetName val="references"/>
      <sheetName val="SCHEDULES"/>
      <sheetName val="API 526(B)"/>
      <sheetName val="API 526(C)"/>
      <sheetName val="API 526(P)"/>
      <sheetName val="Cove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GENERALITY"/>
      <sheetName val="REQUISITIONS"/>
      <sheetName val="DATA_DRAWING"/>
      <sheetName val="MTO"/>
      <sheetName val="PERLITE"/>
      <sheetName val="INNER TANK"/>
      <sheetName val="SPECTRE"/>
      <sheetName val="INNER TANK SEISMIC"/>
      <sheetName val="ANCHOR STRAP"/>
      <sheetName val="SUSPENDED DECK"/>
      <sheetName val="COMP. RING - CONCRETE"/>
      <sheetName val="INNER SEISMIC ANCHOR"/>
      <sheetName val="SEISMIC - BS 2654"/>
      <sheetName val="FOUNDATIONS"/>
      <sheetName val="ROOF PLATE"/>
      <sheetName val="MACRO 1 - Susp. Deck"/>
      <sheetName val="MACRO 3 - Roof Plate"/>
      <sheetName val="MACROS_DIVERS"/>
      <sheetName val="SOLVEUR ROOF PLATE"/>
      <sheetName val="Welds"/>
      <sheetName val="PERLITE_PRESSURE"/>
      <sheetName val="Terminology"/>
      <sheetName val="IMPRESSION"/>
      <sheetName val="MACRO IMPRESSION"/>
      <sheetName val="MACRO SOMMAIRE"/>
      <sheetName val="Macros roof &amp; ring"/>
      <sheetName val="Codes,..."/>
      <sheetName val="REVISION"/>
      <sheetName val="MATERIALS"/>
      <sheetName val="IPE"/>
      <sheetName val="CALCUL_IMPULSIVE_MASS"/>
      <sheetName val="THOUTERTANK"/>
      <sheetName val="dnc4"/>
      <sheetName val="refere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Intro"/>
      <sheetName val="LoadSup"/>
      <sheetName val="LoadBrg"/>
      <sheetName val="LoadSub"/>
      <sheetName val="PileLoad"/>
      <sheetName val="Seis.Longi"/>
      <sheetName val="Sheet2"/>
      <sheetName val="structpile"/>
      <sheetName val="pilecap"/>
      <sheetName val="grill"/>
      <sheetName val="LoadCapa"/>
      <sheetName val="irccoeff"/>
      <sheetName val="Sheet1"/>
    </sheetNames>
    <sheetDataSet>
      <sheetData sheetId="0" refreshError="1"/>
      <sheetData sheetId="1" refreshError="1">
        <row r="149">
          <cell r="L149">
            <v>2</v>
          </cell>
        </row>
        <row r="151">
          <cell r="L151">
            <v>1.2</v>
          </cell>
        </row>
        <row r="153">
          <cell r="L153">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2"/>
      <sheetName val="Module1"/>
      <sheetName val="Module2"/>
      <sheetName val="REINF."/>
      <sheetName val="DATA_DRAWI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data"/>
      <sheetName val="mem-property"/>
      <sheetName val="Chart1"/>
      <sheetName val="sum-moment"/>
      <sheetName val="maingirder"/>
      <sheetName val="Shear force"/>
      <sheetName val="Cantilever "/>
      <sheetName val="crossgirder"/>
      <sheetName val="Basicdata-f"/>
      <sheetName val="Shear_force"/>
      <sheetName val="Cantilever_"/>
      <sheetName val="Material"/>
      <sheetName val="Labour"/>
      <sheetName val="Lead"/>
      <sheetName val="basdat"/>
      <sheetName val="well"/>
      <sheetName val="data"/>
      <sheetName val="cap"/>
      <sheetName val="FT-05-02IsoBOM"/>
      <sheetName val="section"/>
      <sheetName val="Design of two-way slab"/>
      <sheetName val="Abstract of cost"/>
      <sheetName val="Customize Your Statement"/>
      <sheetName val="Items"/>
      <sheetName val="basdat-f"/>
      <sheetName val="Labour &amp; Plant"/>
      <sheetName val="horizontal"/>
      <sheetName val="Dayworks Bill"/>
      <sheetName val="Bills of Quantities"/>
      <sheetName val="Intro"/>
      <sheetName val="loadcal"/>
      <sheetName val="DETAILED  BOQ"/>
      <sheetName val="New Construction"/>
      <sheetName val="doq"/>
      <sheetName val="Timesheet"/>
      <sheetName val="Sheet2"/>
      <sheetName val="Abstract"/>
      <sheetName val="17"/>
      <sheetName val="Abt Foundation "/>
      <sheetName val="pier Foundation"/>
      <sheetName val="Main"/>
      <sheetName val="AOQ-new "/>
      <sheetName val="Service Road_Length"/>
      <sheetName val="Gen Info"/>
      <sheetName val="Concrete_D."/>
      <sheetName val="BQ"/>
      <sheetName val="Plant &amp;  Machinery"/>
      <sheetName val="Back_Cal_for OMC"/>
      <sheetName val="Box Qty 4x3"/>
    </sheetNames>
    <sheetDataSet>
      <sheetData sheetId="0">
        <row r="7">
          <cell r="D7">
            <v>2.65</v>
          </cell>
        </row>
        <row r="16">
          <cell r="D16">
            <v>2.0499999999999998</v>
          </cell>
        </row>
      </sheetData>
      <sheetData sheetId="1"/>
      <sheetData sheetId="2" refreshError="1"/>
      <sheetData sheetId="3"/>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arampur"/>
      <sheetName val="new viaduct"/>
      <sheetName val="section"/>
      <sheetName val="Sheet2"/>
      <sheetName val="Sheet3"/>
    </sheetNames>
    <sheetDataSet>
      <sheetData sheetId="0"/>
      <sheetData sheetId="1"/>
      <sheetData sheetId="2" refreshError="1">
        <row r="11">
          <cell r="B11">
            <v>3</v>
          </cell>
        </row>
        <row r="20">
          <cell r="N20">
            <v>5.5</v>
          </cell>
        </row>
        <row r="39">
          <cell r="G39">
            <v>6</v>
          </cell>
        </row>
        <row r="40">
          <cell r="G40">
            <v>0.3</v>
          </cell>
        </row>
        <row r="41">
          <cell r="G41">
            <v>0.2</v>
          </cell>
        </row>
        <row r="42">
          <cell r="G42">
            <v>0.5</v>
          </cell>
        </row>
        <row r="43">
          <cell r="G43">
            <v>0.3</v>
          </cell>
        </row>
        <row r="44">
          <cell r="G44">
            <v>0.5</v>
          </cell>
        </row>
        <row r="49">
          <cell r="G49">
            <v>2.5</v>
          </cell>
        </row>
      </sheetData>
      <sheetData sheetId="3"/>
      <sheetData sheetId="4"/>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000000"/>
      <sheetName val="dL"/>
      <sheetName val="LLana-1"/>
      <sheetName val="LLana2"/>
      <sheetName val="wing wall"/>
      <sheetName val="Abt Foundation "/>
      <sheetName val="pier"/>
      <sheetName val="peir1"/>
      <sheetName val="pier Foundation"/>
      <sheetName val="pierFound1"/>
      <sheetName val="Sheet16"/>
      <sheetName val="Sheet17"/>
      <sheetName val="Sheet18"/>
      <sheetName val="Sheet1a"/>
      <sheetName val="Sheet 1b"/>
      <sheetName val="Sheet1c"/>
      <sheetName val="Sheet1ca"/>
      <sheetName val="wing_wall"/>
      <sheetName val="Abt_Foundation_"/>
      <sheetName val="pier_Foundation"/>
      <sheetName val="Sheet_1b"/>
    </sheetNames>
    <sheetDataSet>
      <sheetData sheetId="0"/>
      <sheetData sheetId="1"/>
      <sheetData sheetId="2"/>
      <sheetData sheetId="3"/>
      <sheetData sheetId="4"/>
      <sheetData sheetId="5"/>
      <sheetData sheetId="6" refreshError="1">
        <row r="40">
          <cell r="I40">
            <v>19.8</v>
          </cell>
        </row>
        <row r="41">
          <cell r="I41">
            <v>12</v>
          </cell>
        </row>
      </sheetData>
      <sheetData sheetId="7"/>
      <sheetData sheetId="8"/>
      <sheetData sheetId="9" refreshError="1">
        <row r="27">
          <cell r="H27">
            <v>3600</v>
          </cell>
        </row>
      </sheetData>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1"/>
      <sheetName val="DATA"/>
      <sheetName val="ETC Plant Cost"/>
      <sheetName val="dnc4"/>
      <sheetName val="Master"/>
      <sheetName val="ASSUMPTIONS"/>
      <sheetName val="Data 2"/>
      <sheetName val="Data 3"/>
      <sheetName val="REINF."/>
      <sheetName val="LOADS"/>
      <sheetName val="Feuil2"/>
      <sheetName val="R2"/>
      <sheetName val="ecc_res"/>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ulación final"/>
      <sheetName val="Sheet1"/>
      <sheetName val="Data 1"/>
    </sheetNames>
    <sheetDataSet>
      <sheetData sheetId="0" refreshError="1"/>
      <sheetData sheetId="1" refreshError="1"/>
      <sheetData sheetId="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Summary-Cr"/>
      <sheetName val="Summary-Cr"/>
      <sheetName val="summary"/>
      <sheetName val="MD wage - central"/>
      <sheetName val="Manday Wage working-Union"/>
      <sheetName val="Input Data SCM-SIR"/>
      <sheetName val="Heater Working"/>
      <sheetName val="NH3 Reformer"/>
      <sheetName val="Reformer Piping"/>
      <sheetName val="Start upheater piping"/>
      <sheetName val="FF"/>
      <sheetName val="FF start up heater"/>
      <sheetName val="PAINT MTO"/>
      <sheetName val="UG PAINT"/>
      <sheetName val="Painting workings"/>
      <sheetName val="Strl Working"/>
      <sheetName val="hand rail"/>
      <sheetName val="grating"/>
      <sheetName val="Structural Works BOQ"/>
      <sheetName val="Valve cost"/>
      <sheetName val="Fange Cost"/>
      <sheetName val="Joint Coating"/>
      <sheetName val="Civil work for piping"/>
      <sheetName val="Heavy lift-COST WITH FMC CRANE"/>
      <sheetName val="P&amp;M and Power cost Reformer Pkg"/>
      <sheetName val="Static Equ WV"/>
      <sheetName val="Equipment Erection"/>
      <sheetName val="SOR RFCL"/>
      <sheetName val="P&amp;M cost"/>
      <sheetName val="P&amp;M Analysis"/>
      <sheetName val="Demolition &amp; Unloading works"/>
      <sheetName val="structure"/>
      <sheetName val="PIPING WV  1"/>
      <sheetName val="PIPING WV "/>
      <sheetName val="Piping"/>
      <sheetName val="Misllenious work"/>
      <sheetName val="Misc Piping Working"/>
      <sheetName val="NDT &amp; Others"/>
      <sheetName val="Equipment wise cost sheet"/>
      <sheetName val="Scaffolding"/>
      <sheetName val="Sheet2"/>
      <sheetName val="Miter &amp; Red. Paint"/>
      <sheetName val="P&amp;M Cost-Mech"/>
      <sheetName val="Power Cost-Direct"/>
      <sheetName val="Sheet1"/>
      <sheetName val="tabulación 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LOCAL 1"/>
      <sheetName val="LOCAL 2"/>
      <sheetName val="LOCAL 3"/>
      <sheetName val="LOCAL- CHEM"/>
      <sheetName val="IMPORT 1"/>
      <sheetName val="IMPORT 2"/>
      <sheetName val="IMPORT- CHEM"/>
      <sheetName val="TRANSPORT"/>
      <sheetName val="YARD,  SHOP"/>
      <sheetName val="ENGG. - EXEC."/>
      <sheetName val="MANPO.-Eng &amp; Exe"/>
      <sheetName val="MANPO.- Site &amp; Precom-Com"/>
      <sheetName val="CIVIL 1"/>
      <sheetName val="CIVIL 2"/>
      <sheetName val="SITE 1"/>
      <sheetName val="SITE 2"/>
      <sheetName val="SITE 3"/>
      <sheetName val="SITE FACI."/>
      <sheetName val="COLLAB."/>
      <sheetName val="IND-SPARE"/>
      <sheetName val="IMP-SPARE"/>
      <sheetName val="FOR SMG"/>
      <sheetName val="Module3"/>
      <sheetName val="Module1"/>
      <sheetName val="Module2"/>
      <sheetName val="SILICATE"/>
      <sheetName val="Data 1"/>
      <sheetName val="1512EIR4"/>
      <sheetName val="Valve cost"/>
      <sheetName val="tabulación final"/>
      <sheetName val="Sheet1"/>
      <sheetName val="DATA"/>
    </sheetNames>
    <sheetDataSet>
      <sheetData sheetId="0">
        <row r="73">
          <cell r="F73" t="str">
            <v>BEF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ID_1st MTO"/>
      <sheetName val="SHORT_CODE"/>
      <sheetName val="CLASS"/>
      <sheetName val="SCODE"/>
      <sheetName val="SUMMARY"/>
    </sheetNames>
    <sheetDataSet>
      <sheetData sheetId="0" refreshError="1"/>
      <sheetData sheetId="1" refreshError="1"/>
      <sheetData sheetId="2" refreshError="1"/>
      <sheetData sheetId="3" refreshError="1"/>
      <sheetData sheetId="4"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t page"/>
      <sheetName val="CABLE WAYS &amp; GROUND SYSTEM "/>
      <sheetName val=" CABLE"/>
      <sheetName val="BOP "/>
      <sheetName val="Sheet 3"/>
      <sheetName val="INST(GD)"/>
      <sheetName val="Heat"/>
      <sheetName val="CBL.Termination"/>
      <sheetName val="costing_ESDV"/>
      <sheetName val="MSB"/>
      <sheetName val="H2O (air, acid gas)"/>
      <sheetName val="FERTIL"/>
      <sheetName val="1st_page"/>
      <sheetName val="CABLE_WAYS_&amp;_GROUND_SYSTEM_"/>
      <sheetName val="_CABLE"/>
      <sheetName val="BOP_"/>
      <sheetName val="CIVIL"/>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dat"/>
      <sheetName val="Sheet1"/>
      <sheetName val="Cant"/>
      <sheetName val="deckl"/>
      <sheetName val="INTRO"/>
      <sheetName val="LL ABUT"/>
      <sheetName val="LLPIER(2)"/>
      <sheetName val="LL PIER"/>
      <sheetName val="C11"/>
      <sheetName val="C9"/>
      <sheetName val="C15"/>
      <sheetName val="C5"/>
      <sheetName val="C4"/>
      <sheetName val="C14"/>
      <sheetName val="Labour"/>
      <sheetName val="C6"/>
      <sheetName val="C10"/>
      <sheetName val="C3"/>
      <sheetName val="C12"/>
      <sheetName val="C2"/>
      <sheetName val="F8"/>
      <sheetName val="Material "/>
      <sheetName val="Road data"/>
      <sheetName val="Plant &amp;  Machinery"/>
      <sheetName val="Progressin Next mon-AP-17"/>
      <sheetName val="Material"/>
      <sheetName val="L040"/>
      <sheetName val="Letter"/>
      <sheetName val="cul-invSUBMITTED"/>
      <sheetName val="Plant _  Machinery"/>
      <sheetName val="Abs_Road"/>
    </sheetNames>
    <sheetDataSet>
      <sheetData sheetId="0" refreshError="1">
        <row r="33">
          <cell r="D33">
            <v>1150</v>
          </cell>
        </row>
        <row r="34">
          <cell r="D34">
            <v>20000</v>
          </cell>
        </row>
      </sheetData>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_table"/>
      <sheetName val="Index "/>
      <sheetName val="TQ Points"/>
      <sheetName val="Sheet2"/>
      <sheetName val="Sheet1"/>
      <sheetName val="Code"/>
      <sheetName val="Main"/>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sheetData sheetId="1" refreshError="1"/>
      <sheetData sheetId="2"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 val="Main"/>
      <sheetName val="Data"/>
      <sheetName val="TOEC"/>
      <sheetName val="Proposal"/>
      <sheetName val="PUMP"/>
      <sheetName val="Cal"/>
      <sheetName val="valid_table"/>
    </sheetNames>
    <sheetDataSet>
      <sheetData sheetId="0">
        <row r="1">
          <cell r="F1">
            <v>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 -10"/>
      <sheetName val="corbl"/>
      <sheetName val="T"/>
      <sheetName val="horizontal"/>
      <sheetName val="pile group"/>
      <sheetName val="loads"/>
      <sheetName val="summry"/>
      <sheetName val="checkpier"/>
      <sheetName val="checkpile"/>
      <sheetName val="scatch"/>
      <sheetName val="piercap"/>
      <sheetName val="pilecap"/>
      <sheetName val="Reaction"/>
      <sheetName val="reactoin"/>
      <sheetName val="Capac"/>
      <sheetName val="BH III"/>
      <sheetName val="load1"/>
      <sheetName val="Piercap1"/>
      <sheetName val="Piercap2"/>
      <sheetName val="LoaPedestal col"/>
      <sheetName val="Ped colm"/>
      <sheetName val="Horiz."/>
      <sheetName val="Reactpedcol"/>
      <sheetName v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Sum"/>
      <sheetName val="Bill"/>
      <sheetName val="Timesheet"/>
      <sheetName val="horizonta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COLUMN-CR"/>
      <sheetName val="X rate"/>
      <sheetName val="LIST OF MAKES"/>
      <sheetName val="concrete"/>
      <sheetName val="fin-city centre"/>
      <sheetName val="FT-001_R0"/>
      <sheetName val="FT-05-02_R0"/>
      <sheetName val="e220-66kV_"/>
      <sheetName val="CU_R_and_X__"/>
      <sheetName val="설계조건"/>
      <sheetName val="단면검토"/>
      <sheetName val="접속슬래브"/>
      <sheetName val="Design Sheet"/>
      <sheetName val="FORM7"/>
      <sheetName val="meas-wp"/>
      <sheetName val="except wiring"/>
      <sheetName val="ETC Plant Cost"/>
      <sheetName val="M.S."/>
      <sheetName val="beam-reinft-IIInd floor"/>
      <sheetName val="Ass4"/>
      <sheetName val="DCF"/>
      <sheetName val="Discount Rate "/>
      <sheetName val="Data 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QOSWS "/>
      <sheetName val="DETAILED  BOQ"/>
      <sheetName val="2B for Sub_Station_F_I_"/>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ING SHEET SS#35"/>
      <sheetName val="working sheet"/>
      <sheetName val="Backup"/>
      <sheetName val="Civil &amp; Structral  MTO R2 "/>
      <sheetName val="Backup qty"/>
      <sheetName val="Back-up qtys."/>
      <sheetName val="AGEU&amp;TGTU "/>
      <sheetName val="Sheet3"/>
      <sheetName val="PROG_DATA"/>
      <sheetName val="설계조건"/>
      <sheetName val="단면검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ong"/>
      <sheetName val="Tke"/>
      <sheetName val="XDung"/>
      <sheetName val="CThep-G6 (2)"/>
      <sheetName val="KL-G6 bo"/>
      <sheetName val="KL-TLap"/>
      <sheetName val="kphi-Dien co"/>
      <sheetName val="kphi-Thien Ha"/>
      <sheetName val="TH-KLuon"/>
      <sheetName val="pt-VTu"/>
      <sheetName val="TH-VTu"/>
      <sheetName val="dg-VTu"/>
      <sheetName val="xnKLuon"/>
      <sheetName val="PROG_DATA"/>
      <sheetName val="WORKING SHEET SS#3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
      <sheetName val="Proposal"/>
      <sheetName val="dg-VTu"/>
      <sheetName val="Tke"/>
      <sheetName val="WORKING SHEET SS#35"/>
    </sheetNames>
    <sheetDataSet>
      <sheetData sheetId="0" refreshError="1"/>
      <sheetData sheetId="1" refreshError="1"/>
      <sheetData sheetId="2" refreshError="1"/>
      <sheetData sheetId="3" refreshError="1"/>
      <sheetData sheetId="4"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total -BOQ"/>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DETAILED  BOQ"/>
      <sheetName val="dg-VTu"/>
      <sheetName val="Tke"/>
      <sheetName val="??? ?? (?)"/>
      <sheetName val="beam-reinft"/>
      <sheetName val="PROG_DATA"/>
      <sheetName val="upa"/>
      <sheetName val="A-General"/>
      <sheetName val="Civil Works"/>
      <sheetName val="beam_reinft"/>
      <sheetName val="Lead"/>
      <sheetName val="#REF"/>
      <sheetName val="BOQ"/>
      <sheetName val="電気設備表"/>
      <sheetName val="CALC__PER_IEEE-1115_"/>
      <sheetName val="Load_duty_cycle"/>
      <sheetName val="Calc-Float_1"/>
      <sheetName val="Calc-boost_1"/>
      <sheetName val="Annexure-3_1"/>
      <sheetName val="total_-BOQ"/>
      <sheetName val="DETAILED__BOQ"/>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TBAL9697 -group wise  sdpl"/>
      <sheetName val="IDC"/>
      <sheetName val="2.설계제원"/>
      <sheetName val="ACI"/>
      <sheetName val="Typical Design"/>
      <sheetName val="girder"/>
      <sheetName val="Est To comp-KTRP"/>
      <sheetName val="JCR TOP(ITEM)-KTRP"/>
      <sheetName val="UNP-NCW "/>
      <sheetName val="X rate"/>
      <sheetName val="General input"/>
      <sheetName val="Progressin Next mon-AP-1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r5"/>
      <sheetName val="DSr4-nF"/>
      <sheetName val="DSr3"/>
      <sheetName val="DSr2"/>
      <sheetName val="DSr1"/>
      <sheetName val="DS"/>
      <sheetName val="3MLKQ"/>
      <sheetName val="boq"/>
      <sheetName val="Timesheet"/>
      <sheetName val="2.설계제원"/>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Notes"/>
      <sheetName val="Hold"/>
      <sheetName val="LIST "/>
      <sheetName val="Topside cum weight"/>
      <sheetName val="UNIT 340"/>
      <sheetName val="SYSTEM 943-944 HM CM Syst"/>
      <sheetName val="SYSTEM 945 Air&amp;Nitrogen"/>
      <sheetName val="LOCAL EQUIP ROOM"/>
      <sheetName val="D-3503"/>
      <sheetName val="plan&amp;section of foundation"/>
      <sheetName val="working load at the btm ft."/>
      <sheetName val="stability check"/>
      <sheetName val="design load"/>
      <sheetName val="3MLK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ILED"/>
      <sheetName val="SHORT_CODE"/>
      <sheetName val="CLASS"/>
      <sheetName val="SCODE"/>
      <sheetName val="SYSTEM 945 Air&amp;Nitrogen"/>
      <sheetName val="D-350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PAGE"/>
      <sheetName val="AMMONIA"/>
      <sheetName val="UREA"/>
      <sheetName val="STAMICARBON"/>
      <sheetName val="OFFSITES &amp; UTILITIES"/>
    </sheetNames>
    <sheetDataSet>
      <sheetData sheetId="0" refreshError="1"/>
      <sheetData sheetId="1" refreshError="1"/>
      <sheetData sheetId="2"/>
      <sheetData sheetId="3" refreshError="1"/>
      <sheetData sheetId="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_table"/>
      <sheetName val="Index "/>
      <sheetName val="Notes"/>
      <sheetName val="IO Counts"/>
      <sheetName val="CLASS"/>
      <sheetName val="SYSTEM 945 Air&amp;Nitrogen"/>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0-311-315"/>
      <sheetName val="VALIDATION"/>
      <sheetName val="Sheet2"/>
      <sheetName val="valid_table"/>
      <sheetName val="CLASS"/>
      <sheetName val="CBDS (C)"/>
      <sheetName val="CBDA (C)"/>
      <sheetName val="CBDS (M)"/>
      <sheetName val="CBDA (M)"/>
      <sheetName val="CBDS (E&amp;I)"/>
      <sheetName val="CBDA (E&amp;I)"/>
      <sheetName val="MHRS+EQHRS"/>
      <sheetName val="Civil"/>
      <sheetName val="E&amp;I"/>
      <sheetName val="Leave Pay"/>
      <sheetName val="SOCIAL SECURITY"/>
      <sheetName val="Transportation"/>
      <sheetName val="Safety"/>
      <sheetName val="Computers and stationaries"/>
      <sheetName val="Area"/>
      <sheetName val="Site Tools"/>
      <sheetName val="WT"/>
      <sheetName val="Valve weight"/>
      <sheetName val="Site Expenses"/>
      <sheetName val="Weight"/>
      <sheetName val=" qoute"/>
      <sheetName val="Sheet1"/>
      <sheetName val="Main data"/>
      <sheetName val="Piping"/>
      <sheetName val="CREW (C)"/>
      <sheetName val="Crew(M)"/>
      <sheetName val="Thick"/>
      <sheetName val="Summary"/>
      <sheetName val="Manpower Rates"/>
      <sheetName val="Equipment Rates"/>
      <sheetName val="Escalation"/>
      <sheetName val="Camp Cost"/>
      <sheetName val="Sheet3"/>
      <sheetName val="CREW (E&amp;I)"/>
      <sheetName val="Sheet5"/>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Timesheet"/>
      <sheetName val="Rate Analysis"/>
      <sheetName val="Staff Acco."/>
      <sheetName val="#REF"/>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Wordsdata"/>
      <sheetName val="item"/>
      <sheetName val="inWords"/>
      <sheetName val="Dropdown Menu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loadcal"/>
      <sheetName val="VALIDATION"/>
      <sheetName val="valid_table"/>
      <sheetName val="water prop_"/>
      <sheetName val="Calendar"/>
      <sheetName val="beam-reinft"/>
      <sheetName val="estimate"/>
      <sheetName val="Codes"/>
      <sheetName val="Indices"/>
      <sheetName val="월선수금"/>
      <sheetName val="Data"/>
      <sheetName val="Basement Budget"/>
      <sheetName val="IO LIST"/>
      <sheetName val="PROG_DATA"/>
      <sheetName val="Fin. Assumpt. - Sensitivities"/>
      <sheetName val="Global Assm."/>
      <sheetName val="analysis"/>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maing1"/>
      <sheetName val="basdat"/>
      <sheetName val="220 11  BS "/>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erences"/>
      <sheetName val="purpose&amp;input"/>
      <sheetName val="water prop."/>
    </sheetNames>
    <sheetDataSet>
      <sheetData sheetId="0" refreshError="1"/>
      <sheetData sheetId="1" refreshError="1"/>
      <sheetData sheetId="2" refreshError="1"/>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QLIST"/>
      <sheetName val="Data 1"/>
      <sheetName val="Steel Structure"/>
      <sheetName val="water prop."/>
      <sheetName val="SUMMARY"/>
      <sheetName val="references"/>
      <sheetName val="purpose&amp;inpu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FA"/>
      <sheetName val="DLRO-SEPT04-Q2"/>
      <sheetName val="form 7-ACTUAL"/>
      <sheetName val="WC-05-06"/>
      <sheetName val="WC-04-05"/>
      <sheetName val="Summary (2)"/>
      <sheetName val="Summary"/>
      <sheetName val="PMS-Reg"/>
      <sheetName val="WC"/>
      <sheetName val="NFA"/>
      <sheetName val="form 6"/>
      <sheetName val="form 7"/>
      <sheetName val="FORM6"/>
      <sheetName val="FORM7"/>
      <sheetName val="pile Fabrication"/>
      <sheetName val="BQ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emtra"/>
      <sheetName val="FORM7"/>
      <sheetName val="Kiemtra.xls"/>
      <sheetName val="pile Fabrication"/>
    </sheetNames>
    <sheetDataSet>
      <sheetData sheetId="0" refreshError="1"/>
      <sheetData sheetId="1" refreshError="1"/>
      <sheetData sheetId="2" refreshError="1"/>
      <sheetData sheetId="3"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LIQUID MODELISATION"/>
      <sheetName val="INNER &amp; OUTER MASS MODELISATION"/>
      <sheetName val="ROOF &amp; DECK"/>
      <sheetName val="MODELISATION"/>
      <sheetName val="COSMOS-M_Model"/>
      <sheetName val="NOEUDS_INNER"/>
      <sheetName val="Module1"/>
      <sheetName val="Macro_tri-angle"/>
      <sheetName val="Macro-sommaire"/>
      <sheetName val="RETOUR SOMMAIRE"/>
      <sheetName val="MATERIALS"/>
      <sheetName val="Cover sheet"/>
      <sheetName val="Design"/>
    </sheetNames>
    <sheetDataSet>
      <sheetData sheetId="0"/>
      <sheetData sheetId="1">
        <row r="4">
          <cell r="I4" t="str">
            <v>Français</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sheetData sheetId="12" refreshError="1"/>
      <sheetData sheetId="13"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irrage chart"/>
      <sheetName val="Sheet3"/>
      <sheetName val="contents"/>
      <sheetName val="Sheet4"/>
      <sheetName val="Sheet6"/>
      <sheetName val="CONTENTS-1"/>
      <sheetName val="Preface"/>
      <sheetName val="preface.1"/>
      <sheetName val="S-H 0.1"/>
      <sheetName val="S-H 0.2"/>
      <sheetName val="Sheet2"/>
      <sheetName val="S-H 0.3"/>
      <sheetName val="S-H 2.0"/>
      <sheetName val="0.4capacityof truck"/>
      <sheetName val="cairrage"/>
      <sheetName val="Preface.2"/>
      <sheetName val="S-H 3.0"/>
      <sheetName val="Sheet20"/>
      <sheetName val="B-R 0.1 (1-2)"/>
      <sheetName val="S-H 4.0"/>
      <sheetName val="B-R 0.2 (3-4)"/>
      <sheetName val="B-R 0.3 (5-29)"/>
      <sheetName val="B.-W 2.0"/>
      <sheetName val="B-W 2.0 (1-29)"/>
      <sheetName val="B.W 3.0"/>
      <sheetName val="B-W 3.0 (1-5)"/>
      <sheetName val="B.-w 4.0"/>
      <sheetName val="B-W 4.0(1-11)"/>
      <sheetName val="Preface.3"/>
      <sheetName val="S-H 5.0"/>
      <sheetName val="B.-W 5.0"/>
      <sheetName val="S-H 6.0(A)"/>
      <sheetName val="B-W 5.0(1-30)"/>
      <sheetName val="B-W 6.0(A)(1-10)"/>
      <sheetName val="B-W 6.0(B)(1-10)"/>
      <sheetName val="B.W 6.0(C)"/>
      <sheetName val="B.W 6.0(D)"/>
      <sheetName val="B.-W 6.0"/>
      <sheetName val="S-H 6.0(B)"/>
      <sheetName val="S-H 7.0"/>
      <sheetName val="B.W-7"/>
      <sheetName val="S-H 8.0"/>
      <sheetName val="B-W 7.0(1-21)"/>
      <sheetName val="B.W-8"/>
      <sheetName val="M&amp;G"/>
      <sheetName val="B-W 8.0 (1-6)"/>
      <sheetName val="PREFACE 4."/>
      <sheetName val="S-H 9.0"/>
      <sheetName val="B-W 9.0 (1-77)"/>
      <sheetName val="B.-W 9.0"/>
      <sheetName val="NEW B-W-9.0(1-77)"/>
      <sheetName val="S-H.10.0"/>
      <sheetName val="B.-W 10.0"/>
      <sheetName val="B-W 10.0(1-23)"/>
      <sheetName val="lime plaster"/>
      <sheetName val="B-W 11.0"/>
      <sheetName val="B-W 11.0(1-33)"/>
      <sheetName val="B-W 12.0"/>
      <sheetName val="B-W 12.0(1-49)"/>
      <sheetName val="B-W 13.0"/>
      <sheetName val="B-W 13.0(1-56)"/>
      <sheetName val="S.H.11.0"/>
      <sheetName val="S.H.12.0"/>
      <sheetName val="S.H.13.0"/>
      <sheetName val="Sheet1"/>
      <sheetName val="S.H.14.0"/>
      <sheetName val="B-W 14.0(1-20)"/>
      <sheetName val="B-W 14.0"/>
      <sheetName val="S.H.15.0"/>
      <sheetName val="B-W 15.0(1-28)"/>
      <sheetName val="B-W 15.0"/>
      <sheetName val="preface-5"/>
      <sheetName val="S.H.18.0"/>
      <sheetName val="B-W17.0 7TH"/>
      <sheetName val="B-R-17.0-7TH"/>
      <sheetName val="B-R 17.0-1"/>
      <sheetName val="B-W18.0 7TH"/>
      <sheetName val="B-R-18.0-7TH"/>
      <sheetName val="B-W-19.07TH"/>
      <sheetName val="B-R-19.0TH"/>
      <sheetName val="B-W-20.0 7TH"/>
      <sheetName val="B-R-20.0 7TH"/>
      <sheetName val="B.W21.0 7TH"/>
      <sheetName val="B-R-21.0-7TH"/>
      <sheetName val="B-W 22.0"/>
      <sheetName val="B-W 22.0 (1-10)"/>
      <sheetName val="preface-6"/>
      <sheetName val="S.H.23.0"/>
      <sheetName val="B-W 23.0 (1-7)"/>
      <sheetName val="B-W 23.0"/>
      <sheetName val="S.H.24.0"/>
      <sheetName val="B-W 24.0(1-7)"/>
      <sheetName val="B-W 24.0"/>
      <sheetName val="S.H.25.0"/>
      <sheetName val="B-W 23.0 7th"/>
      <sheetName val="B-W 23.0 (1-9)"/>
      <sheetName val="B-R-24.0-7TH"/>
      <sheetName val="B.W-24.0 7TH"/>
      <sheetName val="B-R-25.0-7TH"/>
      <sheetName val="B.W-25.0 7-TH"/>
      <sheetName val="B.W-26.0 7TH"/>
      <sheetName val="B-R-26.0-7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ow r="51">
          <cell r="B51" t="str">
            <v>Add labour cess @ 1%</v>
          </cell>
        </row>
        <row r="52">
          <cell r="B52" t="str">
            <v>Rate including labour cess</v>
          </cell>
        </row>
      </sheetData>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ntents"/>
      <sheetName val="Plant &amp;  Machinery"/>
      <sheetName val="Labour"/>
      <sheetName val="Material"/>
      <sheetName val="Summary of Rates"/>
      <sheetName val="Preambles-Chapter"/>
      <sheetName val="Basic Approach"/>
      <sheetName val="Preamble-1"/>
      <sheetName val="Preamble-2"/>
      <sheetName val="Preamble-3"/>
      <sheetName val="Preamble-4"/>
      <sheetName val="Preamble-5"/>
      <sheetName val="Preamble-6"/>
      <sheetName val="Preamble-7"/>
      <sheetName val="Preamble-8"/>
      <sheetName val="Preamble-9"/>
      <sheetName val="Preamble-10"/>
      <sheetName val="Preamble-11"/>
      <sheetName val="Preamble-12"/>
      <sheetName val="Preamble-13"/>
      <sheetName val="Preamble-14"/>
      <sheetName val="Preamble-15"/>
      <sheetName val="Chapter-1"/>
      <sheetName val="Chapter-2"/>
      <sheetName val="Chapter-3"/>
      <sheetName val="Chapter-4"/>
      <sheetName val="Chapter-5"/>
      <sheetName val="Chapter-6"/>
      <sheetName val="Chapter-7"/>
      <sheetName val="Chapter-8"/>
      <sheetName val="Chapter-9"/>
      <sheetName val="Chapter-10"/>
      <sheetName val="Chapter-11"/>
      <sheetName val="Chapter-12"/>
      <sheetName val="Chapter-13"/>
      <sheetName val="Chapter-14"/>
      <sheetName val="Chapter-15"/>
      <sheetName val="Summary"/>
      <sheetName val="Abbreviations"/>
      <sheetName val="Sheet2"/>
    </sheetNames>
    <sheetDataSet>
      <sheetData sheetId="0" refreshError="1"/>
      <sheetData sheetId="1" refreshError="1"/>
      <sheetData sheetId="2">
        <row r="25">
          <cell r="G25" t="str">
            <v>Input Rate</v>
          </cell>
        </row>
        <row r="34">
          <cell r="G34" t="str">
            <v>Input Rate</v>
          </cell>
        </row>
        <row r="49">
          <cell r="G49" t="str">
            <v>Input Rate</v>
          </cell>
        </row>
        <row r="53">
          <cell r="G53" t="str">
            <v>Input Rate</v>
          </cell>
        </row>
      </sheetData>
      <sheetData sheetId="3">
        <row r="16">
          <cell r="D16" t="str">
            <v>Input Rate</v>
          </cell>
        </row>
        <row r="17">
          <cell r="D17" t="str">
            <v>Input Rate</v>
          </cell>
        </row>
        <row r="19">
          <cell r="D19" t="str">
            <v>Input Rate</v>
          </cell>
        </row>
      </sheetData>
      <sheetData sheetId="4">
        <row r="146">
          <cell r="D146" t="str">
            <v>Input Rate</v>
          </cell>
        </row>
        <row r="147">
          <cell r="D147" t="str">
            <v>Input Rate</v>
          </cell>
        </row>
        <row r="148">
          <cell r="D148" t="str">
            <v>Input Rate</v>
          </cell>
        </row>
        <row r="149">
          <cell r="D149" t="str">
            <v>Input Rate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 P0"/>
      <sheetName val="THICKNESS TABLE"/>
      <sheetName val="SIZE-1"/>
      <sheetName val="SIZE-2"/>
      <sheetName val="SIZE-1 + SIZE-2"/>
      <sheetName val="FINAL PIVOT"/>
      <sheetName val="Sheet6"/>
      <sheetName val="INCHMETER"/>
      <sheetName val="PIPE THK WISE PURCSASE LENGTH"/>
      <sheetName val="WV ANNEXURE-5"/>
      <sheetName val="PIPE WEIGHT PIVOT"/>
      <sheetName val="LIQUID MODELISATION"/>
      <sheetName val="Cove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DWR(Priced)"/>
      <sheetName val=" AnalysisPCC"/>
      <sheetName val=" AnalysisNH"/>
      <sheetName val="Estimates"/>
      <sheetName val="Data"/>
      <sheetName val="BOQ_M7"/>
    </sheetNames>
    <sheetDataSet>
      <sheetData sheetId="0" refreshError="1"/>
      <sheetData sheetId="1" refreshError="1">
        <row r="11">
          <cell r="S11">
            <v>53.900000000000006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OVER"/>
      <sheetName val="REVISION HISTORY LOG"/>
      <sheetName val="Proposal basis"/>
      <sheetName val="COA Civil &amp; Steel"/>
      <sheetName val="Logistics"/>
      <sheetName val="Risk Review"/>
      <sheetName val="Summary Quantity"/>
      <sheetName val="COA BDG"/>
      <sheetName val="Building_Shelter"/>
      <sheetName val="RCC &amp; Reinf"/>
      <sheetName val="Radiant MTO Calc_done"/>
      <sheetName val="WHR-HORIZONTAL"/>
      <sheetName val="DUCT SUPPORTING STRUCTURE"/>
      <sheetName val="STEAMDRUM1"/>
      <sheetName val="STEAMDRUM2"/>
      <sheetName val="ID &amp; FD Fan"/>
      <sheetName val="STACK"/>
      <sheetName val="DUCT SUPPORT VERTICAL"/>
      <sheetName val="FG Boiler"/>
      <sheetName val="Compressor House"/>
      <sheetName val="TS1"/>
      <sheetName val="Piperack"/>
      <sheetName val="Roads &amp; Paving"/>
      <sheetName val=" SWD (ND )"/>
      <sheetName val="AOC design Notes"/>
      <sheetName val="AOC Sump &amp; Manhole Data"/>
      <sheetName val="AOC design"/>
      <sheetName val="OWS line Manhole Data"/>
      <sheetName val="ERC , DBCT , Trenches"/>
      <sheetName val="EQUIPMENT PLATFORMS"/>
      <sheetName val="Roof &amp; RWD_done"/>
      <sheetName val="Embeded steel"/>
      <sheetName val="Anchor bolt  Calc_Done"/>
      <sheetName val="Ladder_done"/>
      <sheetName val="Stair Treads_Done"/>
      <sheetName val="Grating_done"/>
      <sheetName val="Handrail_done"/>
      <sheetName val="Fireproofing"/>
      <sheetName val="miscellaneous"/>
      <sheetName val="PC SUM"/>
      <sheetName val="PC MEMBER LIST"/>
      <sheetName val="HGU Sohar MTO"/>
      <sheetName val="Chemical dosing package"/>
      <sheetName val="HGU2 - MTO sent on 5 march"/>
      <sheetName val="THICKNESS TABLE"/>
      <sheetName val="LIQUID MODELIS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Notes"/>
      <sheetName val="Hold"/>
      <sheetName val="LIST Topside"/>
      <sheetName val="LIST Hull"/>
      <sheetName val="List Turret"/>
      <sheetName val="Topside cum weight"/>
      <sheetName val="UNIT 340"/>
      <sheetName val="SYSTEM 943-944 HM CM Syst"/>
      <sheetName val="SYSTEM 945 Air&amp;Nitrogen"/>
      <sheetName val="LOCAL EQUIP ROOM"/>
      <sheetName val="AOC design"/>
      <sheetName val="THICKNESS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Notes"/>
      <sheetName val="Hold"/>
      <sheetName val="LIST "/>
      <sheetName val="Topside cum weight"/>
      <sheetName val="UNIT 340"/>
      <sheetName val="SYSTEM 943-944 HM CM Syst"/>
      <sheetName val="SYSTEM 945 Air&amp;Nitrogen"/>
      <sheetName val="LOCAL EQUIP ROOM"/>
      <sheetName val="AOC 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FG_BULK"/>
      <sheetName val="MFG_TAG"/>
      <sheetName val="MFG_TAG PROCESS"/>
      <sheetName val="MFG_SUBSTATION"/>
      <sheetName val="ARC308-1"/>
      <sheetName val="cIVIL WORK"/>
      <sheetName val="Cover sheet"/>
      <sheetName val="SUMMARY"/>
      <sheetName val="HDT_MANF"/>
      <sheetName val="LD_FORM"/>
      <sheetName val="DSLP"/>
      <sheetName val="SYSTEM 945 Air&amp;Nitrogen"/>
      <sheetName val="Substation &amp; Transformer"/>
      <sheetName val="BQLIST"/>
      <sheetName val="Design"/>
      <sheetName val="AOC design"/>
      <sheetName val="LOOKUP"/>
      <sheetName val="paint m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ummyRef"/>
      <sheetName val="#REF"/>
      <sheetName val="MFG_TAG"/>
      <sheetName val="DETAILED ENGG PROG"/>
      <sheetName val="ARC308-1"/>
      <sheetName val="SUMMARY"/>
      <sheetName val="DSL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ING SHEET SS#35"/>
      <sheetName val="working sheet"/>
      <sheetName val="Backup"/>
      <sheetName val="Civil &amp; Structral  MTO summary "/>
      <sheetName val="Backup qty"/>
      <sheetName val="Back-up qtys."/>
      <sheetName val="AGEU&amp;TGTU "/>
      <sheetName val="Sheet3"/>
      <sheetName val="Str supply "/>
      <sheetName val="MFG_TA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MASTER DATA"/>
      <sheetName val="WORKING SHEET SS#35"/>
    </sheetNames>
    <sheetDataSet>
      <sheetData sheetId="0" refreshError="1"/>
      <sheetData sheetId="1" refreshError="1"/>
      <sheetData sheetId="2" refreshError="1"/>
      <sheetData sheetId="3" refreshError="1"/>
      <sheetData sheetId="4"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ING SHEET SS#35"/>
      <sheetName val="working sheet"/>
      <sheetName val="Backup"/>
      <sheetName val="Civil &amp; Stru MTO summary  R3"/>
      <sheetName val="Backup qty"/>
      <sheetName val="Back-up qtys."/>
      <sheetName val="AGEU&amp;TGTU "/>
      <sheetName val="Sheet3"/>
      <sheetName val="refractory weight"/>
      <sheetName val="DATE"/>
      <sheetName val="MASTER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OP95"/>
      <sheetName val="Cover sheet"/>
      <sheetName val="THOP95.XLS"/>
      <sheetName val="WORKING SHEET SS#35"/>
    </sheetNames>
    <sheetDataSet>
      <sheetData sheetId="0" refreshError="1"/>
      <sheetData sheetId="1" refreshError="1"/>
      <sheetData sheetId="2" refreshError="1"/>
      <sheetData sheetId="3"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amp;L-1. (FINAL)"/>
      <sheetName val="p&amp;l-1"/>
      <sheetName val="pca com-3 (i)"/>
      <sheetName val="P&amp;L-1."/>
      <sheetName val="RA Bill Summary-2"/>
      <sheetName val="closing stock-3"/>
      <sheetName val="Fixed Assests-4"/>
      <sheetName val="Aging analysis-5"/>
      <sheetName val="qty_recon-mjr-5"/>
      <sheetName val="MRN Vs PJV_6"/>
      <sheetName val="MIV_7"/>
      <sheetName val="outstanding-8"/>
      <sheetName val="Bal-work-9"/>
      <sheetName val="advance-10"/>
      <sheetName val="hire-charges -11"/>
      <sheetName val="PRO-DETAILS12"/>
      <sheetName val="JOB WORK-13"/>
      <sheetName val="QTY_RECON_SUBCONTR-14"/>
      <sheetName val="MOB.INT-15"/>
      <sheetName val="CASH CERTIFICATE-16"/>
      <sheetName val="TDS-13"/>
      <sheetName val="liabilites-7"/>
      <sheetName val="BG DETAILS_9"/>
      <sheetName val="Service Tax Credit_15"/>
      <sheetName val="Freight Actd_14"/>
      <sheetName val="Statutory compliance-10"/>
      <sheetName val="cer_ra_bill_dtl"/>
      <sheetName val="Fixed Assets_add_8 (2)"/>
      <sheetName val="Fixed Assets_add_8"/>
      <sheetName val="investment status-11"/>
      <sheetName val="Balance Sheet-12 (2)"/>
      <sheetName val="Cash Flow-2"/>
      <sheetName val="HSD Cons. Summary_19"/>
      <sheetName val="Mechanical Report_19 (2)"/>
      <sheetName val="Mechanical Report_19"/>
      <sheetName val="pan_prw_26"/>
      <sheetName val="pan_emp_27"/>
      <sheetName val="PROVISION-Monthly"/>
      <sheetName val="Intersite Reconciliation"/>
      <sheetName val="MOB-Mac-Material Adv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FIM with wastages"/>
      <sheetName val="BOQ Apprch Jetty and Main Jetty"/>
      <sheetName val="Piling Program"/>
      <sheetName val="Prod. Analysis-STEEL PILE"/>
      <sheetName val="pile Fabrication"/>
      <sheetName val="LIST OF P&amp;M"/>
      <sheetName val="Analysis"/>
      <sheetName val="Joining &amp; welding"/>
      <sheetName val="BQLIST"/>
      <sheetName val="water prop."/>
      <sheetName val="purpose&amp;input"/>
      <sheetName val="VALIDATION"/>
      <sheetName val="data_valid"/>
      <sheetName val="BM"/>
      <sheetName val="DRUM"/>
      <sheetName val="Vsl2"/>
      <sheetName val="references"/>
      <sheetName val="inter"/>
      <sheetName val="CS PIPING"/>
      <sheetName val="TECH DATA"/>
      <sheetName val="General Data"/>
      <sheetName val="DETAILED ENGG PROG"/>
      <sheetName val="Quantity"/>
      <sheetName val="CLAS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leased-S4(04-05)"/>
      <sheetName val="IBASE"/>
      <sheetName val="PROG_DATA"/>
      <sheetName val="budget"/>
      <sheetName val="Material "/>
      <sheetName val="Timesheet"/>
      <sheetName val="PLAN_FEB97"/>
      <sheetName val="BOQ"/>
      <sheetName val=""/>
      <sheetName val="Ref_Sheet"/>
      <sheetName val="1. Acquisition"/>
      <sheetName val="Labour &amp; Plant"/>
      <sheetName val="S4"/>
      <sheetName val="strand"/>
      <sheetName val="Fill this out first..."/>
      <sheetName val="Definitions"/>
      <sheetName val="estimate"/>
      <sheetName val="REVENUES &amp; BS"/>
      <sheetName val="concrete"/>
      <sheetName val="out_prog"/>
      <sheetName val="선적schedule (2)"/>
      <sheetName val="CALCULATION"/>
      <sheetName val="Improvements"/>
      <sheetName val="Abutment "/>
      <sheetName val="CUM-Mar07"/>
      <sheetName val="Material"/>
      <sheetName val="FORM7"/>
      <sheetName val="conc-foot-gradeslab"/>
      <sheetName val="PlazaElec"/>
      <sheetName val="Labour _ Plant"/>
      <sheetName val="Machinery"/>
    </sheetNames>
    <definedNames>
      <definedName name="NToS"/>
    </defined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s>
    <sheetDataSet>
      <sheetData sheetId="0"/>
      <sheetData sheetId="1">
        <row r="14">
          <cell r="G14">
            <v>3.7079999999999997</v>
          </cell>
        </row>
      </sheetData>
      <sheetData sheetId="2"/>
      <sheetData sheetId="3"/>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
      <sheetName val="Sheet2"/>
      <sheetName val="간접비내역-1"/>
      <sheetName val="REL"/>
      <sheetName val="INPUT DATA"/>
      <sheetName val="Tank_3_1"/>
      <sheetName val="h-013211-2"/>
      <sheetName val="HVAC"/>
      <sheetName val="Summary"/>
      <sheetName val="out_prog"/>
      <sheetName val="선적schedule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S"/>
      <sheetName val="MTO"/>
      <sheetName val="O&amp;M"/>
      <sheetName val="SG"/>
      <sheetName val="SCGH"/>
      <sheetName val="SUPPORT BLDG"/>
      <sheetName val="Parking"/>
      <sheetName val="Draft"/>
      <sheetName val="5"/>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our &amp; Plant"/>
      <sheetName val="Material "/>
      <sheetName val=" Analysis"/>
      <sheetName val="BOQ "/>
      <sheetName val="Sheet1"/>
      <sheetName val="DWR"/>
      <sheetName val="Priced_DWR "/>
      <sheetName val="DWR(Priced)"/>
      <sheetName val=" AnalysisPCC"/>
      <sheetName val=" AnalysisNH"/>
      <sheetName val="Estimates"/>
      <sheetName val="Labour _ Plant"/>
      <sheetName val="REL"/>
      <sheetName val="costing"/>
      <sheetName val="Sheet4"/>
      <sheetName val="CrRajWMM"/>
      <sheetName val="estimate"/>
    </sheetNames>
    <sheetDataSet>
      <sheetData sheetId="0" refreshError="1">
        <row r="32">
          <cell r="C32">
            <v>120</v>
          </cell>
        </row>
      </sheetData>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REL"/>
      <sheetName val="5"/>
      <sheetName val="Piping Design Data"/>
      <sheetName val="INSTR"/>
      <sheetName val="DI-ESTI"/>
      <sheetName val="General Data"/>
      <sheetName val="RFP002"/>
      <sheetName val="NEW-PANEL"/>
      <sheetName val="PIPE내역(FCN)"/>
      <sheetName val="PipWT"/>
      <sheetName val="IBASE2"/>
      <sheetName val="Final(1)summary"/>
      <sheetName val="obliczenia"/>
      <sheetName val="RFP003E"/>
      <sheetName val="laroux"/>
      <sheetName val="TYPE-B 평균H"/>
      <sheetName val="M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Correct"/>
      <sheetName val="Data"/>
      <sheetName val="Temp"/>
      <sheetName val="Code"/>
      <sheetName val="WorkTitle"/>
      <sheetName val="Rate Analysis"/>
      <sheetName val="Sheet1"/>
      <sheetName val="SUMMARY"/>
    </sheetNames>
    <sheetDataSet>
      <sheetData sheetId="0"/>
      <sheetData sheetId="1"/>
      <sheetData sheetId="2"/>
      <sheetData sheetId="3"/>
      <sheetData sheetId="4"/>
      <sheetData sheetId="5"/>
      <sheetData sheetId="6" refreshError="1"/>
      <sheetData sheetId="7" refreshError="1"/>
      <sheetData sheetId="8"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Q-7100-001"/>
      <sheetName val="Q-7300-001"/>
      <sheetName val="Q-7400-001"/>
      <sheetName val="Q-7500-001"/>
      <sheetName val="Q-7700-001"/>
      <sheetName val="Q-7800-001"/>
      <sheetName val="Q-7900-001"/>
      <sheetName val="REL"/>
      <sheetName val="IBASE"/>
      <sheetName val="TYPE-B 평균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t"/>
      <sheetName val="Prop"/>
      <sheetName val="bASICDATA"/>
      <sheetName val="Sheet1"/>
      <sheetName val="Design"/>
      <sheetName val="Loss"/>
      <sheetName val="Cross Drainage Works"/>
      <sheetName val="Labour"/>
      <sheetName val="BAR CHART"/>
      <sheetName val="Sheet3"/>
      <sheetName val="Plant &amp; Machinery"/>
      <sheetName val="Lead"/>
      <sheetName val="foundation"/>
      <sheetName val="Plant &amp;  Machinery"/>
      <sheetName val="cul-invSUBMITTED"/>
      <sheetName val="maing1"/>
      <sheetName val="PRICE BID"/>
      <sheetName val="Material"/>
      <sheetName val="Plant _  Machinery"/>
      <sheetName val="REL"/>
      <sheetName val="basdat-f"/>
      <sheetName val="EJ Pier"/>
      <sheetName val="Labour &amp; Plant"/>
      <sheetName val="BOQ Distribution"/>
      <sheetName val="F8-MACHINE"/>
      <sheetName val="INPUT"/>
      <sheetName val="Abutment "/>
    </sheetNames>
    <sheetDataSet>
      <sheetData sheetId="0"/>
      <sheetData sheetId="1"/>
      <sheetData sheetId="2">
        <row r="49">
          <cell r="E49">
            <v>0.15</v>
          </cell>
        </row>
      </sheetData>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ILDING WORKS"/>
      <sheetName val="CIVIL WORKS"/>
      <sheetName val="Offer"/>
      <sheetName val="Off"/>
      <sheetName val="Summary"/>
      <sheetName val="Tool &amp; Tackles"/>
      <sheetName val="Plant"/>
      <sheetName val="Painting"/>
      <sheetName val="Insulation"/>
      <sheetName val="Piping"/>
      <sheetName val="Details GRE Piping"/>
      <sheetName val="Details UG CS"/>
      <sheetName val="NDT"/>
      <sheetName val="Steel Structure"/>
      <sheetName val="Supply working"/>
      <sheetName val="Sheeting"/>
      <sheetName val="Grating"/>
      <sheetName val="Equipments"/>
      <sheetName val="BQLIST"/>
      <sheetName val="Vehicles"/>
      <sheetName val="REL"/>
      <sheetName val="budget"/>
      <sheetName val="1040"/>
      <sheetName val="Q-7100-00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Table Of Contents"/>
      <sheetName val="Relevant Documents"/>
      <sheetName val="Summary"/>
      <sheetName val="07-PSW5-001"/>
      <sheetName val="07-PDB5-001"/>
      <sheetName val="Index Of Revisions"/>
      <sheetName val="Sheet1"/>
      <sheetName val="Sheet2"/>
      <sheetName val="Sheet3"/>
      <sheetName val="Steel Structure"/>
      <sheetName val="104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NGE"/>
      <sheetName val="Steel Structure"/>
      <sheetName val="oresreqsum"/>
      <sheetName val="Q-7100-001"/>
      <sheetName val="NA"/>
      <sheetName val="Analy"/>
      <sheetName val="TPL"/>
      <sheetName val="BQLIST"/>
      <sheetName val="RATE-ANAY."/>
      <sheetName val="purpose&amp;input"/>
      <sheetName val="Cover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undation"/>
      <sheetName val="abutment"/>
      <sheetName val="dirt wall"/>
      <sheetName val="return wall"/>
      <sheetName val="shear table"/>
    </sheetNames>
    <sheetDataSet>
      <sheetData sheetId="0">
        <row r="112">
          <cell r="F112">
            <v>200</v>
          </cell>
        </row>
        <row r="116">
          <cell r="F116">
            <v>1.4814814814814814</v>
          </cell>
        </row>
      </sheetData>
      <sheetData sheetId="1"/>
      <sheetData sheetId="2"/>
      <sheetData sheetId="3"/>
      <sheetData sheetId="4"/>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RANGE"/>
      <sheetName val="Sheet2"/>
      <sheetName val="RECAPITULATION"/>
      <sheetName val="estimate"/>
      <sheetName val="Assumptions"/>
      <sheetName val="horizontal"/>
      <sheetName val="Comments"/>
      <sheetName val="COLUMN"/>
      <sheetName val="RA_EIL"/>
      <sheetName val="RA_MKT_QUOTE"/>
      <sheetName val="RA-markate"/>
      <sheetName val="BOQ_Direct_selling cost"/>
      <sheetName val="TS-TC"/>
      <sheetName val="purpose&amp;input"/>
      <sheetName val="WIND"/>
      <sheetName val="UBC(WIND)"/>
      <sheetName val="FORM7"/>
      <sheetName val="TPL"/>
      <sheetName val="Ref Tables"/>
      <sheetName val="girder"/>
      <sheetName val="cubes_M20"/>
      <sheetName val="ETC Plant Cost"/>
      <sheetName val="DLRO- Dec 2003"/>
      <sheetName val="concrete"/>
      <sheetName val="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dummy"/>
      <sheetName val="REL"/>
      <sheetName val="RANGE"/>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Design"/>
      <sheetName val="RECAPITULATION"/>
      <sheetName val="PROG_DATA"/>
      <sheetName val="RA-markate"/>
      <sheetName val="purpose_input"/>
      <sheetName val="Summary"/>
      <sheetName val="RA_markate"/>
      <sheetName val="FT-001_R0"/>
      <sheetName val="FT-05-02_R0"/>
      <sheetName val="e220-66kV_"/>
      <sheetName val="issue_summary_"/>
      <sheetName val="iso-forms_"/>
      <sheetName val="resis__coeffC120"/>
      <sheetName val="SCHEMATIC_SKETCH"/>
      <sheetName val="COLUMN"/>
      <sheetName val="7 Other Costs"/>
      <sheetName val="cul-invSUBMITTED"/>
      <sheetName val="Ref Tables"/>
      <sheetName val="FORM7"/>
      <sheetName val="Labour &amp; Plant"/>
      <sheetName val="Labour"/>
      <sheetName val="estimate"/>
      <sheetName val="Cul_detail"/>
      <sheetName val="M.R.List (2)"/>
      <sheetName val="BOQ"/>
      <sheetName val="Ranges"/>
      <sheetName val="potablwater"/>
      <sheetName val="REVENUES &amp; BS"/>
      <sheetName val="steam outlet"/>
      <sheetName val="BOQ civ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6bc"/>
      <sheetName val="+3.6bs"/>
      <sheetName val="+3.6sc"/>
      <sheetName val="+3.6ss"/>
      <sheetName val="+3.6bc (2)"/>
      <sheetName val="+3.6bs (2)"/>
      <sheetName val="+3.6sc (2)"/>
      <sheetName val="+3.6ss (2)"/>
      <sheetName val="terbc"/>
      <sheetName val="terbs"/>
      <sheetName val="tersc"/>
      <sheetName val="terss"/>
      <sheetName val="GCC"/>
      <sheetName val="GCS"/>
      <sheetName val="FCC"/>
      <sheetName val="FCS"/>
      <sheetName val="SCC"/>
      <sheetName val="SCS"/>
      <sheetName val="GSC"/>
      <sheetName val="GSS"/>
      <sheetName val="GSS (2)"/>
      <sheetName val="GSS (3)"/>
      <sheetName val="WC"/>
      <sheetName val="WS"/>
      <sheetName val="417-418"/>
      <sheetName val="GSC (2)"/>
      <sheetName val="GSS (4)"/>
      <sheetName val="GSS (5)"/>
      <sheetName val="GSS (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HG Unit"/>
      <sheetName val="HD Unit"/>
      <sheetName val="ASME B 36.10 M"/>
      <sheetName val="MTO"/>
      <sheetName val="Piping material HG take off - R"/>
      <sheetName val="IBASE"/>
      <sheetName val="ESTIMATE INPUT"/>
      <sheetName val="HG_Unit1"/>
      <sheetName val="HD_Unit1"/>
      <sheetName val="ASME_B_36_10_M1"/>
      <sheetName val="HG_Unit"/>
      <sheetName val="HD_Unit"/>
      <sheetName val="ASME_B_36_10_M"/>
      <sheetName val="HG_Unit2"/>
      <sheetName val="HD_Unit2"/>
      <sheetName val="ASME_B_36_10_M2"/>
      <sheetName val="HG_Unit3"/>
      <sheetName val="HD_Unit3"/>
      <sheetName val="ASME_B_36_10_M3"/>
      <sheetName val="ESTIMATE_INPUT"/>
      <sheetName val="BILAL2"/>
      <sheetName val="CostSummary"/>
      <sheetName val="POWER"/>
      <sheetName val="Final(1)summary"/>
    </sheetNames>
    <sheetDataSet>
      <sheetData sheetId="0"/>
      <sheetData sheetId="1"/>
      <sheetData sheetId="2">
        <row r="3">
          <cell r="E3">
            <v>5</v>
          </cell>
        </row>
      </sheetData>
      <sheetData sheetId="3">
        <row r="3">
          <cell r="E3">
            <v>5</v>
          </cell>
          <cell r="F3">
            <v>10</v>
          </cell>
          <cell r="G3">
            <v>20</v>
          </cell>
          <cell r="H3">
            <v>30</v>
          </cell>
          <cell r="I3" t="str">
            <v>STD</v>
          </cell>
          <cell r="J3">
            <v>40</v>
          </cell>
          <cell r="K3">
            <v>60</v>
          </cell>
          <cell r="L3" t="str">
            <v>XS</v>
          </cell>
          <cell r="M3">
            <v>80</v>
          </cell>
          <cell r="N3">
            <v>100</v>
          </cell>
          <cell r="O3">
            <v>120</v>
          </cell>
          <cell r="P3">
            <v>140</v>
          </cell>
          <cell r="Q3">
            <v>160</v>
          </cell>
          <cell r="R3" t="str">
            <v>XXS</v>
          </cell>
          <cell r="T3" t="str">
            <v>Sch05S</v>
          </cell>
          <cell r="U3" t="str">
            <v>Sch10S</v>
          </cell>
          <cell r="V3" t="str">
            <v>Sch40S</v>
          </cell>
          <cell r="W3" t="str">
            <v>Sch80S</v>
          </cell>
        </row>
        <row r="4">
          <cell r="D4">
            <v>1</v>
          </cell>
          <cell r="E4">
            <v>2</v>
          </cell>
          <cell r="F4">
            <v>3</v>
          </cell>
          <cell r="G4">
            <v>4</v>
          </cell>
          <cell r="H4">
            <v>5</v>
          </cell>
          <cell r="I4">
            <v>6</v>
          </cell>
          <cell r="J4">
            <v>7</v>
          </cell>
          <cell r="K4">
            <v>8</v>
          </cell>
          <cell r="L4">
            <v>9</v>
          </cell>
          <cell r="M4">
            <v>10</v>
          </cell>
          <cell r="N4">
            <v>11</v>
          </cell>
          <cell r="O4">
            <v>12</v>
          </cell>
          <cell r="P4">
            <v>13</v>
          </cell>
          <cell r="Q4">
            <v>14</v>
          </cell>
          <cell r="R4">
            <v>15</v>
          </cell>
          <cell r="S4">
            <v>16</v>
          </cell>
          <cell r="T4">
            <v>17</v>
          </cell>
          <cell r="U4">
            <v>18</v>
          </cell>
          <cell r="V4">
            <v>19</v>
          </cell>
          <cell r="W4">
            <v>20</v>
          </cell>
        </row>
        <row r="5">
          <cell r="D5">
            <v>10.3</v>
          </cell>
          <cell r="F5">
            <v>1.24</v>
          </cell>
          <cell r="H5">
            <v>1.45</v>
          </cell>
          <cell r="I5">
            <v>1.73</v>
          </cell>
          <cell r="J5">
            <v>1.73</v>
          </cell>
          <cell r="L5">
            <v>2.41</v>
          </cell>
          <cell r="M5">
            <v>2.41</v>
          </cell>
          <cell r="U5">
            <v>1.24</v>
          </cell>
          <cell r="V5">
            <v>1.73</v>
          </cell>
          <cell r="W5">
            <v>2.41</v>
          </cell>
        </row>
        <row r="6">
          <cell r="D6">
            <v>13.7</v>
          </cell>
          <cell r="F6">
            <v>1.65</v>
          </cell>
          <cell r="H6">
            <v>1.85</v>
          </cell>
          <cell r="I6">
            <v>2.2400000000000002</v>
          </cell>
          <cell r="J6">
            <v>2.2400000000000002</v>
          </cell>
          <cell r="L6">
            <v>3.02</v>
          </cell>
          <cell r="M6">
            <v>3.02</v>
          </cell>
          <cell r="U6">
            <v>1.65</v>
          </cell>
          <cell r="V6">
            <v>2.2400000000000002</v>
          </cell>
          <cell r="W6">
            <v>3.02</v>
          </cell>
        </row>
        <row r="7">
          <cell r="D7">
            <v>17.100000000000001</v>
          </cell>
          <cell r="F7">
            <v>1.65</v>
          </cell>
          <cell r="H7">
            <v>1.85</v>
          </cell>
          <cell r="I7">
            <v>2.31</v>
          </cell>
          <cell r="J7">
            <v>2.31</v>
          </cell>
          <cell r="L7">
            <v>3.2</v>
          </cell>
          <cell r="M7">
            <v>3.2</v>
          </cell>
          <cell r="U7">
            <v>1.65</v>
          </cell>
          <cell r="V7">
            <v>2.31</v>
          </cell>
          <cell r="W7">
            <v>3.2</v>
          </cell>
        </row>
        <row r="8">
          <cell r="D8">
            <v>21.3</v>
          </cell>
          <cell r="E8">
            <v>1.65</v>
          </cell>
          <cell r="F8">
            <v>2.11</v>
          </cell>
          <cell r="H8">
            <v>2.41</v>
          </cell>
          <cell r="I8">
            <v>2.77</v>
          </cell>
          <cell r="J8">
            <v>2.77</v>
          </cell>
          <cell r="L8">
            <v>3.73</v>
          </cell>
          <cell r="M8">
            <v>3.73</v>
          </cell>
          <cell r="Q8">
            <v>4.78</v>
          </cell>
          <cell r="R8">
            <v>7.47</v>
          </cell>
          <cell r="T8">
            <v>1.65</v>
          </cell>
          <cell r="U8">
            <v>2.11</v>
          </cell>
          <cell r="V8">
            <v>2.77</v>
          </cell>
          <cell r="W8">
            <v>3.73</v>
          </cell>
        </row>
        <row r="9">
          <cell r="D9">
            <v>26.7</v>
          </cell>
          <cell r="E9">
            <v>1.65</v>
          </cell>
          <cell r="F9">
            <v>2.11</v>
          </cell>
          <cell r="H9">
            <v>2.41</v>
          </cell>
          <cell r="I9">
            <v>2.87</v>
          </cell>
          <cell r="J9">
            <v>2.87</v>
          </cell>
          <cell r="L9">
            <v>3.91</v>
          </cell>
          <cell r="M9">
            <v>3.91</v>
          </cell>
          <cell r="Q9">
            <v>5.56</v>
          </cell>
          <cell r="R9">
            <v>7.82</v>
          </cell>
          <cell r="T9">
            <v>1.65</v>
          </cell>
          <cell r="U9">
            <v>2.11</v>
          </cell>
          <cell r="V9">
            <v>2.87</v>
          </cell>
          <cell r="W9">
            <v>3.91</v>
          </cell>
        </row>
        <row r="10">
          <cell r="D10">
            <v>33.4</v>
          </cell>
          <cell r="E10">
            <v>1.65</v>
          </cell>
          <cell r="F10">
            <v>2.77</v>
          </cell>
          <cell r="H10">
            <v>2.9</v>
          </cell>
          <cell r="I10">
            <v>3.38</v>
          </cell>
          <cell r="J10">
            <v>3.38</v>
          </cell>
          <cell r="L10">
            <v>4.55</v>
          </cell>
          <cell r="M10">
            <v>4.55</v>
          </cell>
          <cell r="Q10">
            <v>6.35</v>
          </cell>
          <cell r="R10">
            <v>9.09</v>
          </cell>
          <cell r="T10">
            <v>1.65</v>
          </cell>
          <cell r="U10">
            <v>2.77</v>
          </cell>
          <cell r="V10">
            <v>3.38</v>
          </cell>
          <cell r="W10">
            <v>4.55</v>
          </cell>
        </row>
        <row r="11">
          <cell r="D11">
            <v>42.2</v>
          </cell>
          <cell r="E11">
            <v>1.65</v>
          </cell>
          <cell r="F11">
            <v>2.77</v>
          </cell>
          <cell r="H11">
            <v>2.97</v>
          </cell>
          <cell r="I11">
            <v>3.56</v>
          </cell>
          <cell r="J11">
            <v>3.56</v>
          </cell>
          <cell r="L11">
            <v>4.8499999999999996</v>
          </cell>
          <cell r="M11">
            <v>4.8499999999999996</v>
          </cell>
          <cell r="Q11">
            <v>69.349999999999994</v>
          </cell>
          <cell r="R11">
            <v>9.6999999999999993</v>
          </cell>
          <cell r="T11">
            <v>1.65</v>
          </cell>
          <cell r="U11">
            <v>2.77</v>
          </cell>
          <cell r="V11">
            <v>3.56</v>
          </cell>
          <cell r="W11">
            <v>4.8499999999999996</v>
          </cell>
        </row>
        <row r="12">
          <cell r="D12">
            <v>48.3</v>
          </cell>
          <cell r="E12">
            <v>1.65</v>
          </cell>
          <cell r="F12">
            <v>2.77</v>
          </cell>
          <cell r="H12">
            <v>3.18</v>
          </cell>
          <cell r="I12">
            <v>3.68</v>
          </cell>
          <cell r="J12">
            <v>3.68</v>
          </cell>
          <cell r="L12">
            <v>5.08</v>
          </cell>
          <cell r="M12">
            <v>5.08</v>
          </cell>
          <cell r="Q12">
            <v>7.14</v>
          </cell>
          <cell r="R12">
            <v>10.15</v>
          </cell>
          <cell r="T12">
            <v>1.65</v>
          </cell>
          <cell r="U12">
            <v>2.77</v>
          </cell>
          <cell r="V12">
            <v>3.68</v>
          </cell>
          <cell r="W12">
            <v>5.08</v>
          </cell>
        </row>
        <row r="13">
          <cell r="D13">
            <v>60.3</v>
          </cell>
          <cell r="E13">
            <v>1.65</v>
          </cell>
          <cell r="F13">
            <v>2.77</v>
          </cell>
          <cell r="H13">
            <v>3.18</v>
          </cell>
          <cell r="I13">
            <v>3.9140000000000001</v>
          </cell>
          <cell r="J13">
            <v>3.9140000000000001</v>
          </cell>
          <cell r="L13">
            <v>5.54</v>
          </cell>
          <cell r="M13">
            <v>5.54</v>
          </cell>
          <cell r="Q13">
            <v>8.74</v>
          </cell>
          <cell r="R13">
            <v>11.07</v>
          </cell>
          <cell r="T13">
            <v>1.65</v>
          </cell>
          <cell r="U13">
            <v>2.77</v>
          </cell>
          <cell r="V13">
            <v>3.91</v>
          </cell>
          <cell r="W13">
            <v>5.54</v>
          </cell>
        </row>
        <row r="14">
          <cell r="D14">
            <v>73</v>
          </cell>
          <cell r="E14">
            <v>2.11</v>
          </cell>
          <cell r="F14">
            <v>3.05</v>
          </cell>
          <cell r="H14">
            <v>4.78</v>
          </cell>
          <cell r="I14">
            <v>5.16</v>
          </cell>
          <cell r="J14">
            <v>5.16</v>
          </cell>
          <cell r="L14">
            <v>7.01</v>
          </cell>
          <cell r="M14">
            <v>7.01</v>
          </cell>
          <cell r="Q14">
            <v>9.5299999999999994</v>
          </cell>
          <cell r="R14">
            <v>14.02</v>
          </cell>
          <cell r="T14">
            <v>2.11</v>
          </cell>
          <cell r="U14">
            <v>3.05</v>
          </cell>
          <cell r="V14">
            <v>5.16</v>
          </cell>
          <cell r="W14">
            <v>7.01</v>
          </cell>
        </row>
        <row r="15">
          <cell r="D15">
            <v>88.9</v>
          </cell>
          <cell r="E15">
            <v>2.11</v>
          </cell>
          <cell r="F15">
            <v>3.05</v>
          </cell>
          <cell r="H15">
            <v>4.78</v>
          </cell>
          <cell r="I15">
            <v>5.49</v>
          </cell>
          <cell r="J15">
            <v>5.49</v>
          </cell>
          <cell r="L15">
            <v>7.62</v>
          </cell>
          <cell r="M15">
            <v>7.62</v>
          </cell>
          <cell r="Q15">
            <v>11.13</v>
          </cell>
          <cell r="R15">
            <v>15.24</v>
          </cell>
          <cell r="T15">
            <v>2.11</v>
          </cell>
          <cell r="U15">
            <v>3.05</v>
          </cell>
          <cell r="V15">
            <v>5.49</v>
          </cell>
          <cell r="W15">
            <v>7.62</v>
          </cell>
        </row>
        <row r="16">
          <cell r="D16">
            <v>101.6</v>
          </cell>
          <cell r="E16">
            <v>2.11</v>
          </cell>
          <cell r="F16">
            <v>3.05</v>
          </cell>
          <cell r="H16">
            <v>4.78</v>
          </cell>
          <cell r="I16">
            <v>5.74</v>
          </cell>
          <cell r="J16">
            <v>5.74</v>
          </cell>
          <cell r="L16">
            <v>8.08</v>
          </cell>
          <cell r="M16">
            <v>8.08</v>
          </cell>
          <cell r="T16">
            <v>2.11</v>
          </cell>
          <cell r="U16">
            <v>3.05</v>
          </cell>
          <cell r="V16">
            <v>5.74</v>
          </cell>
          <cell r="W16">
            <v>8.08</v>
          </cell>
        </row>
        <row r="17">
          <cell r="D17">
            <v>114.3</v>
          </cell>
          <cell r="E17">
            <v>2.11</v>
          </cell>
          <cell r="F17">
            <v>3.05</v>
          </cell>
          <cell r="H17">
            <v>4.78</v>
          </cell>
          <cell r="I17">
            <v>6.02</v>
          </cell>
          <cell r="J17">
            <v>6.02</v>
          </cell>
          <cell r="L17">
            <v>8.56</v>
          </cell>
          <cell r="M17">
            <v>8.56</v>
          </cell>
          <cell r="O17">
            <v>11.13</v>
          </cell>
          <cell r="Q17">
            <v>13.49</v>
          </cell>
          <cell r="R17">
            <v>17.12</v>
          </cell>
          <cell r="T17">
            <v>2.11</v>
          </cell>
          <cell r="U17">
            <v>3.05</v>
          </cell>
          <cell r="V17">
            <v>6.02</v>
          </cell>
          <cell r="W17">
            <v>8.56</v>
          </cell>
        </row>
        <row r="18">
          <cell r="D18">
            <v>141.30000000000001</v>
          </cell>
          <cell r="E18">
            <v>2.77</v>
          </cell>
          <cell r="F18">
            <v>3.4</v>
          </cell>
          <cell r="I18">
            <v>6.55</v>
          </cell>
          <cell r="J18">
            <v>6.55</v>
          </cell>
          <cell r="L18">
            <v>9.5299999999999994</v>
          </cell>
          <cell r="M18">
            <v>9.5299999999999994</v>
          </cell>
          <cell r="O18">
            <v>12.7</v>
          </cell>
          <cell r="Q18">
            <v>15.88</v>
          </cell>
          <cell r="R18">
            <v>19.05</v>
          </cell>
          <cell r="T18">
            <v>2.77</v>
          </cell>
          <cell r="U18">
            <v>3.4</v>
          </cell>
          <cell r="V18">
            <v>6.55</v>
          </cell>
          <cell r="W18">
            <v>9.5299999999999994</v>
          </cell>
        </row>
        <row r="19">
          <cell r="D19">
            <v>168.3</v>
          </cell>
          <cell r="E19">
            <v>2.77</v>
          </cell>
          <cell r="F19">
            <v>3.4</v>
          </cell>
          <cell r="I19">
            <v>7.1</v>
          </cell>
          <cell r="J19">
            <v>7.1</v>
          </cell>
          <cell r="L19">
            <v>10.97</v>
          </cell>
          <cell r="M19">
            <v>10.97</v>
          </cell>
          <cell r="O19">
            <v>14.27</v>
          </cell>
          <cell r="Q19">
            <v>18.260000000000002</v>
          </cell>
          <cell r="R19">
            <v>21.95</v>
          </cell>
          <cell r="T19">
            <v>2.77</v>
          </cell>
          <cell r="U19">
            <v>3.4</v>
          </cell>
          <cell r="V19">
            <v>7.11</v>
          </cell>
          <cell r="W19">
            <v>10.97</v>
          </cell>
        </row>
        <row r="20">
          <cell r="D20">
            <v>219.1</v>
          </cell>
          <cell r="E20">
            <v>2.77</v>
          </cell>
          <cell r="F20">
            <v>3.76</v>
          </cell>
          <cell r="G20">
            <v>6.35</v>
          </cell>
          <cell r="H20">
            <v>7.04</v>
          </cell>
          <cell r="I20">
            <v>8.18</v>
          </cell>
          <cell r="J20">
            <v>8.18</v>
          </cell>
          <cell r="K20">
            <v>10.31</v>
          </cell>
          <cell r="L20">
            <v>12.7</v>
          </cell>
          <cell r="M20">
            <v>12.7</v>
          </cell>
          <cell r="N20">
            <v>15.09</v>
          </cell>
          <cell r="O20">
            <v>18.260000000000002</v>
          </cell>
          <cell r="P20">
            <v>20.62</v>
          </cell>
          <cell r="Q20">
            <v>23.01</v>
          </cell>
          <cell r="R20">
            <v>22.23</v>
          </cell>
          <cell r="T20">
            <v>2.77</v>
          </cell>
          <cell r="U20">
            <v>3.76</v>
          </cell>
          <cell r="V20">
            <v>8.18</v>
          </cell>
          <cell r="W20">
            <v>12.7</v>
          </cell>
        </row>
        <row r="21">
          <cell r="D21">
            <v>273</v>
          </cell>
          <cell r="E21">
            <v>3.4</v>
          </cell>
          <cell r="F21">
            <v>4.1900000000000004</v>
          </cell>
          <cell r="G21">
            <v>6.35</v>
          </cell>
          <cell r="H21">
            <v>7.8</v>
          </cell>
          <cell r="I21">
            <v>9.27</v>
          </cell>
          <cell r="J21">
            <v>9.27</v>
          </cell>
          <cell r="K21">
            <v>12.7</v>
          </cell>
          <cell r="L21">
            <v>12.7</v>
          </cell>
          <cell r="M21">
            <v>15.09</v>
          </cell>
          <cell r="N21">
            <v>18.260000000000002</v>
          </cell>
          <cell r="O21">
            <v>21.44</v>
          </cell>
          <cell r="P21">
            <v>25.4</v>
          </cell>
          <cell r="Q21">
            <v>28.58</v>
          </cell>
          <cell r="R21">
            <v>25.4</v>
          </cell>
          <cell r="T21">
            <v>3.4</v>
          </cell>
          <cell r="U21">
            <v>4.1900000000000004</v>
          </cell>
          <cell r="V21">
            <v>9.27</v>
          </cell>
          <cell r="W21">
            <v>12.7</v>
          </cell>
        </row>
        <row r="22">
          <cell r="D22">
            <v>323.8</v>
          </cell>
          <cell r="E22">
            <v>3.96</v>
          </cell>
          <cell r="F22">
            <v>4.57</v>
          </cell>
          <cell r="G22">
            <v>6.35</v>
          </cell>
          <cell r="H22">
            <v>8.3800000000000008</v>
          </cell>
          <cell r="I22">
            <v>9.5299999999999994</v>
          </cell>
          <cell r="J22">
            <v>10.31</v>
          </cell>
          <cell r="K22">
            <v>14.27</v>
          </cell>
          <cell r="L22">
            <v>12.7</v>
          </cell>
          <cell r="M22">
            <v>17.48</v>
          </cell>
          <cell r="N22">
            <v>21.44</v>
          </cell>
          <cell r="O22">
            <v>25.4</v>
          </cell>
          <cell r="P22">
            <v>28.58</v>
          </cell>
          <cell r="Q22">
            <v>33.32</v>
          </cell>
          <cell r="R22">
            <v>25.4</v>
          </cell>
          <cell r="T22">
            <v>3.96</v>
          </cell>
          <cell r="U22">
            <v>4.57</v>
          </cell>
          <cell r="V22">
            <v>9.5299999999999994</v>
          </cell>
          <cell r="W22">
            <v>12.7</v>
          </cell>
        </row>
        <row r="23">
          <cell r="D23">
            <v>355.6</v>
          </cell>
          <cell r="E23">
            <v>3.96</v>
          </cell>
          <cell r="F23">
            <v>6.35</v>
          </cell>
          <cell r="G23">
            <v>7.92</v>
          </cell>
          <cell r="H23">
            <v>9.5299999999999994</v>
          </cell>
          <cell r="I23">
            <v>9.5299999999999994</v>
          </cell>
          <cell r="J23">
            <v>11.13</v>
          </cell>
          <cell r="K23">
            <v>15.09</v>
          </cell>
          <cell r="L23">
            <v>12.7</v>
          </cell>
          <cell r="M23">
            <v>19.05</v>
          </cell>
          <cell r="N23">
            <v>23.83</v>
          </cell>
          <cell r="O23">
            <v>27.79</v>
          </cell>
          <cell r="P23">
            <v>31.75</v>
          </cell>
          <cell r="Q23">
            <v>35.71</v>
          </cell>
          <cell r="T23">
            <v>3.96</v>
          </cell>
          <cell r="U23">
            <v>4.78</v>
          </cell>
        </row>
        <row r="24">
          <cell r="D24">
            <v>406.4</v>
          </cell>
          <cell r="E24">
            <v>4.1900000000000004</v>
          </cell>
          <cell r="F24">
            <v>6.35</v>
          </cell>
          <cell r="G24">
            <v>7.92</v>
          </cell>
          <cell r="H24">
            <v>9.5299999999999994</v>
          </cell>
          <cell r="I24">
            <v>9.5299999999999994</v>
          </cell>
          <cell r="J24">
            <v>12.7</v>
          </cell>
          <cell r="K24">
            <v>16.66</v>
          </cell>
          <cell r="L24">
            <v>12.7</v>
          </cell>
          <cell r="M24">
            <v>21.44</v>
          </cell>
          <cell r="N24">
            <v>26.19</v>
          </cell>
          <cell r="O24">
            <v>30.96</v>
          </cell>
          <cell r="P24">
            <v>36.53</v>
          </cell>
          <cell r="Q24">
            <v>40.49</v>
          </cell>
          <cell r="T24">
            <v>4.1900000000000004</v>
          </cell>
          <cell r="U24">
            <v>4.78</v>
          </cell>
        </row>
        <row r="25">
          <cell r="D25">
            <v>457</v>
          </cell>
          <cell r="E25">
            <v>4.1900000000000004</v>
          </cell>
          <cell r="F25">
            <v>6.35</v>
          </cell>
          <cell r="G25">
            <v>7.92</v>
          </cell>
          <cell r="H25">
            <v>11.13</v>
          </cell>
          <cell r="I25">
            <v>9.5299999999999994</v>
          </cell>
          <cell r="J25">
            <v>14.27</v>
          </cell>
          <cell r="K25">
            <v>19.05</v>
          </cell>
          <cell r="L25">
            <v>12.7</v>
          </cell>
          <cell r="M25">
            <v>23.83</v>
          </cell>
          <cell r="N25">
            <v>29.36</v>
          </cell>
          <cell r="O25">
            <v>34.93</v>
          </cell>
          <cell r="P25">
            <v>39.67</v>
          </cell>
          <cell r="Q25">
            <v>45.24</v>
          </cell>
          <cell r="T25">
            <v>4.1900000000000004</v>
          </cell>
          <cell r="U25">
            <v>4.78</v>
          </cell>
        </row>
        <row r="26">
          <cell r="D26">
            <v>508</v>
          </cell>
          <cell r="E26">
            <v>4.78</v>
          </cell>
          <cell r="F26">
            <v>6.35</v>
          </cell>
          <cell r="G26">
            <v>9.5299999999999994</v>
          </cell>
          <cell r="H26">
            <v>12.7</v>
          </cell>
          <cell r="I26">
            <v>9.5299999999999994</v>
          </cell>
          <cell r="J26">
            <v>15.09</v>
          </cell>
          <cell r="K26">
            <v>20.62</v>
          </cell>
          <cell r="L26">
            <v>12.7</v>
          </cell>
          <cell r="M26">
            <v>26.19</v>
          </cell>
          <cell r="N26">
            <v>32.54</v>
          </cell>
          <cell r="O26">
            <v>38.1</v>
          </cell>
          <cell r="P26">
            <v>44.45</v>
          </cell>
          <cell r="Q26">
            <v>50.01</v>
          </cell>
          <cell r="T26">
            <v>4.78</v>
          </cell>
          <cell r="U26">
            <v>5.54</v>
          </cell>
        </row>
        <row r="27">
          <cell r="D27">
            <v>559</v>
          </cell>
          <cell r="E27">
            <v>4.78</v>
          </cell>
          <cell r="F27">
            <v>6.35</v>
          </cell>
          <cell r="G27">
            <v>9.5299999999999994</v>
          </cell>
          <cell r="H27">
            <v>12.7</v>
          </cell>
          <cell r="I27">
            <v>9.5299999999999994</v>
          </cell>
          <cell r="K27">
            <v>2.23</v>
          </cell>
          <cell r="L27">
            <v>12.7</v>
          </cell>
          <cell r="M27">
            <v>28.58</v>
          </cell>
          <cell r="N27">
            <v>34.93</v>
          </cell>
          <cell r="O27">
            <v>41.28</v>
          </cell>
          <cell r="P27">
            <v>47.63</v>
          </cell>
          <cell r="Q27">
            <v>53.98</v>
          </cell>
          <cell r="T27">
            <v>4.78</v>
          </cell>
          <cell r="U27">
            <v>5.54</v>
          </cell>
        </row>
        <row r="28">
          <cell r="D28">
            <v>610</v>
          </cell>
          <cell r="E28">
            <v>5.54</v>
          </cell>
          <cell r="F28">
            <v>6.35</v>
          </cell>
          <cell r="G28">
            <v>9.5299999999999994</v>
          </cell>
          <cell r="H28">
            <v>14.27</v>
          </cell>
          <cell r="I28">
            <v>9.5299999999999994</v>
          </cell>
          <cell r="J28">
            <v>17.48</v>
          </cell>
          <cell r="K28">
            <v>24.61</v>
          </cell>
          <cell r="L28">
            <v>12.7</v>
          </cell>
          <cell r="M28">
            <v>30.96</v>
          </cell>
          <cell r="N28">
            <v>38.89</v>
          </cell>
          <cell r="O28">
            <v>46.02</v>
          </cell>
          <cell r="P28">
            <v>52.37</v>
          </cell>
          <cell r="Q28">
            <v>59.54</v>
          </cell>
          <cell r="T28">
            <v>5.54</v>
          </cell>
          <cell r="U28">
            <v>6.35</v>
          </cell>
        </row>
        <row r="29">
          <cell r="D29">
            <v>660</v>
          </cell>
          <cell r="F29">
            <v>7.92</v>
          </cell>
          <cell r="G29">
            <v>12.7</v>
          </cell>
          <cell r="I29">
            <v>9.5299999999999994</v>
          </cell>
          <cell r="L29">
            <v>12.7</v>
          </cell>
        </row>
        <row r="30">
          <cell r="D30">
            <v>711</v>
          </cell>
          <cell r="F30">
            <v>7.92</v>
          </cell>
          <cell r="G30">
            <v>12.7</v>
          </cell>
          <cell r="H30">
            <v>15.88</v>
          </cell>
          <cell r="I30">
            <v>9.5299999999999994</v>
          </cell>
          <cell r="L30">
            <v>12.7</v>
          </cell>
        </row>
        <row r="31">
          <cell r="D31">
            <v>762</v>
          </cell>
          <cell r="F31">
            <v>7.92</v>
          </cell>
          <cell r="G31">
            <v>12.7</v>
          </cell>
          <cell r="H31">
            <v>15.88</v>
          </cell>
          <cell r="I31">
            <v>9.5299999999999994</v>
          </cell>
          <cell r="L31">
            <v>12.7</v>
          </cell>
          <cell r="T31">
            <v>6.35</v>
          </cell>
          <cell r="U31">
            <v>7.92</v>
          </cell>
        </row>
        <row r="32">
          <cell r="D32">
            <v>813</v>
          </cell>
          <cell r="F32">
            <v>7.92</v>
          </cell>
          <cell r="G32">
            <v>12.7</v>
          </cell>
          <cell r="H32">
            <v>15.88</v>
          </cell>
          <cell r="I32">
            <v>9.5299999999999994</v>
          </cell>
          <cell r="J32">
            <v>17.48</v>
          </cell>
          <cell r="L32">
            <v>12.7</v>
          </cell>
        </row>
        <row r="33">
          <cell r="D33">
            <v>864</v>
          </cell>
          <cell r="F33">
            <v>7.92</v>
          </cell>
          <cell r="G33">
            <v>12.7</v>
          </cell>
          <cell r="H33">
            <v>15.88</v>
          </cell>
          <cell r="I33">
            <v>9.5299999999999994</v>
          </cell>
          <cell r="J33">
            <v>18.48</v>
          </cell>
          <cell r="L33">
            <v>12.7</v>
          </cell>
        </row>
        <row r="34">
          <cell r="D34">
            <v>914</v>
          </cell>
          <cell r="F34">
            <v>7.92</v>
          </cell>
          <cell r="G34">
            <v>12.7</v>
          </cell>
          <cell r="H34">
            <v>15.88</v>
          </cell>
          <cell r="I34">
            <v>9.5299999999999994</v>
          </cell>
          <cell r="J34">
            <v>19.05</v>
          </cell>
          <cell r="L34">
            <v>12.7</v>
          </cell>
        </row>
        <row r="35">
          <cell r="D35">
            <v>965</v>
          </cell>
          <cell r="I35">
            <v>9.5299999999999994</v>
          </cell>
          <cell r="L35">
            <v>12.7</v>
          </cell>
        </row>
        <row r="36">
          <cell r="D36">
            <v>1016</v>
          </cell>
          <cell r="I36">
            <v>9.5299999999999994</v>
          </cell>
          <cell r="L36">
            <v>12.7</v>
          </cell>
        </row>
        <row r="37">
          <cell r="D37">
            <v>1067</v>
          </cell>
          <cell r="I37">
            <v>9.5299999999999994</v>
          </cell>
          <cell r="L37">
            <v>12.7</v>
          </cell>
        </row>
        <row r="38">
          <cell r="D38">
            <v>1118</v>
          </cell>
          <cell r="I38">
            <v>9.5299999999999994</v>
          </cell>
          <cell r="L38">
            <v>12.7</v>
          </cell>
        </row>
        <row r="39">
          <cell r="D39">
            <v>1168</v>
          </cell>
          <cell r="I39">
            <v>9.5299999999999994</v>
          </cell>
          <cell r="L39">
            <v>12.7</v>
          </cell>
        </row>
        <row r="40">
          <cell r="D40">
            <v>1219</v>
          </cell>
          <cell r="I40">
            <v>9.5299999999999994</v>
          </cell>
          <cell r="L40">
            <v>12.7</v>
          </cell>
        </row>
        <row r="41">
          <cell r="D41">
            <v>1321</v>
          </cell>
          <cell r="I41">
            <v>9.5299999999999994</v>
          </cell>
          <cell r="L41">
            <v>12.7</v>
          </cell>
        </row>
        <row r="42">
          <cell r="D42">
            <v>1422</v>
          </cell>
        </row>
        <row r="43">
          <cell r="D43">
            <v>1524</v>
          </cell>
        </row>
        <row r="44">
          <cell r="D44">
            <v>1626</v>
          </cell>
        </row>
        <row r="45">
          <cell r="D45">
            <v>1727</v>
          </cell>
        </row>
        <row r="46">
          <cell r="D46">
            <v>1829</v>
          </cell>
        </row>
        <row r="47">
          <cell r="D47">
            <v>1930</v>
          </cell>
        </row>
        <row r="48">
          <cell r="D48">
            <v>2032</v>
          </cell>
        </row>
      </sheetData>
      <sheetData sheetId="4" refreshError="1"/>
      <sheetData sheetId="5" refreshError="1"/>
      <sheetData sheetId="6" refreshError="1"/>
      <sheetData sheetId="7" refreshError="1"/>
      <sheetData sheetId="8"/>
      <sheetData sheetId="9"/>
      <sheetData sheetId="10"/>
      <sheetData sheetId="11">
        <row r="3">
          <cell r="E3">
            <v>5</v>
          </cell>
        </row>
      </sheetData>
      <sheetData sheetId="12">
        <row r="3">
          <cell r="E3">
            <v>5</v>
          </cell>
        </row>
      </sheetData>
      <sheetData sheetId="13">
        <row r="3">
          <cell r="E3">
            <v>5</v>
          </cell>
        </row>
      </sheetData>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ID_1st MTO"/>
      <sheetName val="SHORT_CODE"/>
      <sheetName val="CLASS"/>
      <sheetName val="SCODE"/>
      <sheetName val="dummy"/>
      <sheetName val="WIND"/>
      <sheetName val="BOQ fire proof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Page 2"/>
      <sheetName val="Page 3"/>
      <sheetName val="Page 4"/>
      <sheetName val="Page 5"/>
      <sheetName val="Page 6"/>
      <sheetName val="combined 3,6"/>
    </sheetNames>
    <sheetDataSet>
      <sheetData sheetId="0"/>
      <sheetData sheetId="1" refreshError="1">
        <row r="15">
          <cell r="A15">
            <v>1</v>
          </cell>
        </row>
        <row r="16">
          <cell r="A16">
            <v>2</v>
          </cell>
          <cell r="B16" t="str">
            <v>ITEM</v>
          </cell>
          <cell r="C16" t="str">
            <v>RC2-32-82-16-0802</v>
          </cell>
          <cell r="G16" t="str">
            <v>SERVICE</v>
          </cell>
          <cell r="H16" t="str">
            <v>ETHYLENE REFRIGERANT COMPRESSOR</v>
          </cell>
        </row>
        <row r="17">
          <cell r="A17">
            <v>3</v>
          </cell>
        </row>
        <row r="18">
          <cell r="A18">
            <v>4</v>
          </cell>
          <cell r="B18" t="str">
            <v>TYPE</v>
          </cell>
          <cell r="C18" t="str">
            <v>CENTRIFUGAL</v>
          </cell>
          <cell r="L18" t="str">
            <v>NUMBER</v>
          </cell>
          <cell r="N18" t="str">
            <v>1</v>
          </cell>
        </row>
        <row r="19">
          <cell r="A19">
            <v>5</v>
          </cell>
        </row>
        <row r="20">
          <cell r="A20">
            <v>6</v>
          </cell>
          <cell r="B20" t="str">
            <v>DRIVER</v>
          </cell>
          <cell r="E20" t="str">
            <v>NORMAL :</v>
          </cell>
          <cell r="G20" t="str">
            <v>STEAM TURBINE</v>
          </cell>
          <cell r="L20" t="str">
            <v>SPARE :</v>
          </cell>
          <cell r="N20" t="str">
            <v>NO SPARE</v>
          </cell>
        </row>
        <row r="21">
          <cell r="A21">
            <v>7</v>
          </cell>
        </row>
        <row r="22">
          <cell r="A22">
            <v>8</v>
          </cell>
          <cell r="D22" t="str">
            <v xml:space="preserve">OPERATING CASE </v>
          </cell>
          <cell r="J22" t="str">
            <v xml:space="preserve">Normal case: 9 furnaces in normal operation </v>
          </cell>
        </row>
        <row r="23">
          <cell r="A23">
            <v>9</v>
          </cell>
          <cell r="D23" t="str">
            <v>STAGE</v>
          </cell>
          <cell r="J23" t="str">
            <v>1st stage</v>
          </cell>
          <cell r="L23" t="str">
            <v>Side in</v>
          </cell>
          <cell r="N23" t="str">
            <v>2nd stage (2)</v>
          </cell>
        </row>
        <row r="24">
          <cell r="A24">
            <v>10</v>
          </cell>
          <cell r="B24" t="str">
            <v>OPERATING CONDITIONS</v>
          </cell>
        </row>
        <row r="25">
          <cell r="A25">
            <v>11</v>
          </cell>
          <cell r="D25" t="str">
            <v>TOTAL FLOW (WEIGHT)    NORMAL</v>
          </cell>
          <cell r="I25" t="str">
            <v>kg/h</v>
          </cell>
          <cell r="J25" t="str">
            <v>102972</v>
          </cell>
          <cell r="L25" t="str">
            <v>160516</v>
          </cell>
          <cell r="N25" t="str">
            <v>263488</v>
          </cell>
        </row>
        <row r="26">
          <cell r="A26">
            <v>12</v>
          </cell>
          <cell r="E26" t="str">
            <v xml:space="preserve">                  DESIGN</v>
          </cell>
          <cell r="I26" t="str">
            <v>kg/h</v>
          </cell>
          <cell r="J26" t="str">
            <v>108121</v>
          </cell>
          <cell r="L26" t="str">
            <v>168542</v>
          </cell>
          <cell r="N26" t="str">
            <v>276662</v>
          </cell>
        </row>
        <row r="27">
          <cell r="A27">
            <v>13</v>
          </cell>
        </row>
        <row r="28">
          <cell r="A28">
            <v>14</v>
          </cell>
          <cell r="D28" t="str">
            <v>TOTAL FLOW (VOLUME) AT 0°C AND 1 ATA</v>
          </cell>
        </row>
        <row r="29">
          <cell r="A29">
            <v>15</v>
          </cell>
          <cell r="E29" t="str">
            <v>NORMAL</v>
          </cell>
          <cell r="I29" t="str">
            <v>Nm³/h</v>
          </cell>
          <cell r="J29" t="str">
            <v>82259</v>
          </cell>
          <cell r="L29" t="str">
            <v>128253</v>
          </cell>
          <cell r="N29" t="str">
            <v>210512</v>
          </cell>
        </row>
        <row r="30">
          <cell r="A30">
            <v>16</v>
          </cell>
          <cell r="E30" t="str">
            <v>DESIGN</v>
          </cell>
          <cell r="I30" t="str">
            <v>Nm³/h</v>
          </cell>
          <cell r="J30" t="str">
            <v>86372</v>
          </cell>
          <cell r="L30" t="str">
            <v>134666</v>
          </cell>
          <cell r="N30" t="str">
            <v>221038</v>
          </cell>
        </row>
        <row r="31">
          <cell r="A31">
            <v>17</v>
          </cell>
        </row>
        <row r="32">
          <cell r="A32">
            <v>18</v>
          </cell>
          <cell r="D32" t="str">
            <v>SUCTION TEMPERATURE</v>
          </cell>
          <cell r="I32" t="str">
            <v>°C</v>
          </cell>
          <cell r="J32" t="str">
            <v>-76.4</v>
          </cell>
          <cell r="L32" t="str">
            <v>-54.4</v>
          </cell>
          <cell r="N32" t="str">
            <v>-44.3</v>
          </cell>
        </row>
        <row r="33">
          <cell r="A33">
            <v>19</v>
          </cell>
        </row>
        <row r="34">
          <cell r="A34">
            <v>20</v>
          </cell>
          <cell r="D34" t="str">
            <v>SUCTION PRESSURE</v>
          </cell>
          <cell r="I34" t="str">
            <v>kg/cm²g</v>
          </cell>
          <cell r="J34" t="str">
            <v>2.95</v>
          </cell>
          <cell r="L34" t="str">
            <v>8.29</v>
          </cell>
          <cell r="N34" t="str">
            <v>8.29</v>
          </cell>
        </row>
        <row r="35">
          <cell r="A35">
            <v>21</v>
          </cell>
          <cell r="D35" t="str">
            <v>DISCHARGE PRESSURE</v>
          </cell>
          <cell r="I35" t="str">
            <v>kg/cm²g</v>
          </cell>
          <cell r="J35" t="str">
            <v>8.29</v>
          </cell>
          <cell r="N35" t="str">
            <v>31.22</v>
          </cell>
        </row>
        <row r="36">
          <cell r="A36">
            <v>22</v>
          </cell>
          <cell r="D36" t="str">
            <v>DIFFERENTIAL PRESSURE</v>
          </cell>
          <cell r="I36" t="str">
            <v>kg/cm²</v>
          </cell>
          <cell r="J36" t="str">
            <v>5.34</v>
          </cell>
          <cell r="N36" t="str">
            <v>22.93</v>
          </cell>
        </row>
        <row r="37">
          <cell r="A37">
            <v>23</v>
          </cell>
          <cell r="D37" t="str">
            <v>COMPRESSION RATIO</v>
          </cell>
          <cell r="J37" t="str">
            <v>2.34</v>
          </cell>
          <cell r="N37" t="str">
            <v>3.46</v>
          </cell>
        </row>
        <row r="38">
          <cell r="A38">
            <v>24</v>
          </cell>
        </row>
        <row r="39">
          <cell r="A39">
            <v>25</v>
          </cell>
          <cell r="D39" t="str">
            <v>MOLECULAR WEIGHT</v>
          </cell>
          <cell r="J39" t="str">
            <v>28.05</v>
          </cell>
          <cell r="L39" t="str">
            <v>28.05</v>
          </cell>
          <cell r="N39" t="str">
            <v>28.05</v>
          </cell>
        </row>
        <row r="40">
          <cell r="A40">
            <v>26</v>
          </cell>
        </row>
        <row r="41">
          <cell r="A41">
            <v>27</v>
          </cell>
          <cell r="D41" t="str">
            <v xml:space="preserve">COMPRESSIBILITY FACTOR UNDER SUCTION CONDITIONS </v>
          </cell>
          <cell r="J41" t="str">
            <v>0.92</v>
          </cell>
          <cell r="L41" t="str">
            <v>0.85</v>
          </cell>
          <cell r="N41" t="str">
            <v>0.87</v>
          </cell>
        </row>
        <row r="42">
          <cell r="A42">
            <v>28</v>
          </cell>
        </row>
        <row r="43">
          <cell r="A43">
            <v>29</v>
          </cell>
          <cell r="D43" t="str">
            <v>Cp/Cv (1)</v>
          </cell>
        </row>
        <row r="44">
          <cell r="A44">
            <v>30</v>
          </cell>
        </row>
        <row r="45">
          <cell r="A45">
            <v>31</v>
          </cell>
          <cell r="D45" t="str">
            <v>DENSITY UNDER SUCTION CONDITIONS</v>
          </cell>
          <cell r="I45" t="str">
            <v>kg/m³</v>
          </cell>
          <cell r="J45" t="str">
            <v>7.30</v>
          </cell>
          <cell r="L45" t="str">
            <v>16.67</v>
          </cell>
          <cell r="N45" t="str">
            <v>15.57</v>
          </cell>
        </row>
        <row r="46">
          <cell r="A46">
            <v>32</v>
          </cell>
        </row>
        <row r="47">
          <cell r="A47">
            <v>33</v>
          </cell>
          <cell r="D47" t="str">
            <v>TOTAL VOLUME FLOW (UNDER SUCTION CONDITIONS)</v>
          </cell>
        </row>
        <row r="48">
          <cell r="A48">
            <v>34</v>
          </cell>
          <cell r="E48" t="str">
            <v>NORMAL</v>
          </cell>
          <cell r="G48" t="str">
            <v>m³/h</v>
          </cell>
          <cell r="J48" t="str">
            <v>14106</v>
          </cell>
          <cell r="L48" t="str">
            <v>9629</v>
          </cell>
          <cell r="N48" t="str">
            <v>16923</v>
          </cell>
        </row>
        <row r="49">
          <cell r="A49">
            <v>35</v>
          </cell>
          <cell r="E49" t="str">
            <v>DESIGN</v>
          </cell>
          <cell r="G49" t="str">
            <v>m³/h</v>
          </cell>
          <cell r="J49" t="str">
            <v>14811</v>
          </cell>
          <cell r="L49" t="str">
            <v>10110</v>
          </cell>
          <cell r="N49" t="str">
            <v>17769</v>
          </cell>
        </row>
        <row r="50">
          <cell r="A50">
            <v>36</v>
          </cell>
          <cell r="S50" t="str">
            <v>Total</v>
          </cell>
        </row>
        <row r="51">
          <cell r="A51">
            <v>37</v>
          </cell>
          <cell r="D51" t="str">
            <v>NORMAL SHAFT POWER (ESTIMATED)</v>
          </cell>
          <cell r="I51" t="str">
            <v>kW</v>
          </cell>
          <cell r="J51" t="str">
            <v>1667</v>
          </cell>
          <cell r="N51" t="str">
            <v>7108</v>
          </cell>
          <cell r="S51" t="str">
            <v>8775</v>
          </cell>
        </row>
        <row r="52">
          <cell r="A52">
            <v>38</v>
          </cell>
          <cell r="D52" t="str">
            <v>ELECTRICAL CONSUMPTION (NORMAL, ESTIMATED)</v>
          </cell>
          <cell r="I52" t="str">
            <v>kW</v>
          </cell>
        </row>
        <row r="53">
          <cell r="A53">
            <v>39</v>
          </cell>
          <cell r="D53" t="str">
            <v>GUARANTEED POINT</v>
          </cell>
          <cell r="J53" t="str">
            <v>YES</v>
          </cell>
          <cell r="N53" t="str">
            <v>YES</v>
          </cell>
        </row>
        <row r="54">
          <cell r="A54">
            <v>40</v>
          </cell>
        </row>
        <row r="55">
          <cell r="A55">
            <v>41</v>
          </cell>
          <cell r="B55" t="str">
            <v>COMPOSITION</v>
          </cell>
          <cell r="D55" t="str">
            <v>GAS COMPOSITION (MOL. %)</v>
          </cell>
        </row>
        <row r="56">
          <cell r="A56">
            <v>42</v>
          </cell>
        </row>
        <row r="57">
          <cell r="A57">
            <v>43</v>
          </cell>
        </row>
        <row r="58">
          <cell r="A58">
            <v>44</v>
          </cell>
          <cell r="D58" t="str">
            <v>METHANE</v>
          </cell>
          <cell r="J58" t="str">
            <v>0.001</v>
          </cell>
          <cell r="L58" t="str">
            <v>0.007</v>
          </cell>
          <cell r="N58" t="str">
            <v>0.005</v>
          </cell>
        </row>
        <row r="59">
          <cell r="A59">
            <v>45</v>
          </cell>
          <cell r="D59" t="str">
            <v>ETHYLENE</v>
          </cell>
          <cell r="J59" t="str">
            <v>99.949</v>
          </cell>
          <cell r="L59" t="str">
            <v>99.961</v>
          </cell>
          <cell r="N59" t="str">
            <v>99.956</v>
          </cell>
        </row>
        <row r="60">
          <cell r="A60">
            <v>46</v>
          </cell>
          <cell r="D60" t="str">
            <v>ETHANE</v>
          </cell>
          <cell r="J60" t="str">
            <v>0.050</v>
          </cell>
          <cell r="L60" t="str">
            <v>0.032</v>
          </cell>
          <cell r="N60" t="str">
            <v>0.039</v>
          </cell>
        </row>
        <row r="61">
          <cell r="A61">
            <v>47</v>
          </cell>
        </row>
        <row r="62">
          <cell r="A62">
            <v>48</v>
          </cell>
        </row>
        <row r="63">
          <cell r="A63">
            <v>49</v>
          </cell>
        </row>
        <row r="64">
          <cell r="A64">
            <v>50</v>
          </cell>
        </row>
        <row r="65">
          <cell r="A65">
            <v>51</v>
          </cell>
        </row>
        <row r="66">
          <cell r="A66">
            <v>52</v>
          </cell>
        </row>
        <row r="67">
          <cell r="A67">
            <v>53</v>
          </cell>
        </row>
        <row r="68">
          <cell r="A68">
            <v>54</v>
          </cell>
        </row>
        <row r="69">
          <cell r="A69">
            <v>55</v>
          </cell>
          <cell r="D69" t="str">
            <v xml:space="preserve">SUCTION DESIGN TEMPERATURE </v>
          </cell>
          <cell r="I69" t="str">
            <v>°C</v>
          </cell>
          <cell r="J69" t="str">
            <v>-87/60</v>
          </cell>
          <cell r="L69" t="str">
            <v>-65/60</v>
          </cell>
          <cell r="N69" t="str">
            <v>-55/60</v>
          </cell>
        </row>
        <row r="70">
          <cell r="A70">
            <v>56</v>
          </cell>
          <cell r="D70" t="str">
            <v>SUCTION DESIGN PRESSURE</v>
          </cell>
          <cell r="I70" t="str">
            <v>kg/cm²g</v>
          </cell>
          <cell r="J70" t="str">
            <v>12.8</v>
          </cell>
          <cell r="L70" t="str">
            <v>12.8</v>
          </cell>
          <cell r="N70" t="str">
            <v>12.8</v>
          </cell>
        </row>
        <row r="71">
          <cell r="A71">
            <v>57</v>
          </cell>
          <cell r="D71" t="str">
            <v>DISCHARGE DESIGN PRESSURE</v>
          </cell>
          <cell r="I71" t="str">
            <v>kg/cm²g</v>
          </cell>
          <cell r="N71" t="str">
            <v>34.4</v>
          </cell>
        </row>
        <row r="72">
          <cell r="A72">
            <v>58</v>
          </cell>
          <cell r="B72" t="str">
            <v xml:space="preserve">EFFICIENCY </v>
          </cell>
          <cell r="H72" t="str">
            <v>NOTES ON HANDLED GAS :</v>
          </cell>
        </row>
        <row r="73">
          <cell r="A73">
            <v>59</v>
          </cell>
        </row>
        <row r="74">
          <cell r="A74">
            <v>60</v>
          </cell>
          <cell r="B74" t="str">
            <v>See page 6</v>
          </cell>
        </row>
        <row r="75">
          <cell r="A75">
            <v>61</v>
          </cell>
        </row>
        <row r="76">
          <cell r="A76">
            <v>62</v>
          </cell>
        </row>
        <row r="77">
          <cell r="A77">
            <v>63</v>
          </cell>
          <cell r="H77" t="str">
            <v>NOTES ON OPERATING CONDITIONS :</v>
          </cell>
        </row>
        <row r="78">
          <cell r="A78">
            <v>64</v>
          </cell>
          <cell r="H78" t="str">
            <v>(1) If gas analysis is given, manufacturer shall supply data. Otherwise data shall be supplied by user.</v>
          </cell>
        </row>
        <row r="79">
          <cell r="A79">
            <v>65</v>
          </cell>
          <cell r="H79" t="str">
            <v>(2) Temperature and properties after mixing with side stream to be confirmed by supplier.</v>
          </cell>
        </row>
        <row r="80">
          <cell r="A80">
            <v>66</v>
          </cell>
        </row>
        <row r="81">
          <cell r="A81">
            <v>67</v>
          </cell>
        </row>
        <row r="82">
          <cell r="A82">
            <v>68</v>
          </cell>
        </row>
        <row r="83">
          <cell r="B83" t="str">
            <v>PDS 57 - Rev.6 - ANG - XL97</v>
          </cell>
          <cell r="J83" t="str">
            <v>G:\Ethylene-Energie\Ras Laffan contrat\process datasheets\U800-Refrigerant cycles\[08458U-32-PDS-1000-0802-0.xls]Page 2</v>
          </cell>
        </row>
      </sheetData>
      <sheetData sheetId="2"/>
      <sheetData sheetId="3"/>
      <sheetData sheetId="4"/>
      <sheetData sheetId="5"/>
      <sheetData sheetId="6"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sheetName val="MTO"/>
      <sheetName val="Summary of New"/>
      <sheetName val="Compound Wall"/>
      <sheetName val="Control Room"/>
      <sheetName val="SS - working"/>
      <sheetName val="SS-MTO"/>
      <sheetName val="Pump House"/>
      <sheetName val="Flare Line (Trestle)"/>
      <sheetName val="Compressor shed"/>
      <sheetName val="Flare Stack"/>
      <sheetName val="Sleepers"/>
      <sheetName val="T-supports"/>
      <sheetName val="KOD and SOT"/>
      <sheetName val="Watchtower"/>
      <sheetName val="Tanks"/>
      <sheetName val="Packages"/>
      <sheetName val="Pumps"/>
      <sheetName val="Vessels"/>
      <sheetName val="Parking"/>
      <sheetName val="Well Manifold"/>
      <sheetName val="Piperack_Qty"/>
      <sheetName val="Piperack_fdn"/>
      <sheetName val="Dismantel"/>
      <sheetName val="Compound Wall (Dsmntld)"/>
      <sheetName val="KOD"/>
      <sheetName val="CLASS"/>
      <sheetName val="dumm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nt"/>
      <sheetName val="Prop"/>
      <sheetName val="bASICDATA"/>
      <sheetName val="Design"/>
      <sheetName val="Sheet1"/>
      <sheetName val="abutcap"/>
      <sheetName val="dirtwall"/>
      <sheetName val="stemwall"/>
      <sheetName val="int.cft"/>
      <sheetName val="cftsteel"/>
      <sheetName val="wing"/>
      <sheetName val="count 3"/>
      <sheetName val="maingirder"/>
      <sheetName val="LOAD CALCULATIONS"/>
      <sheetName val="foundation"/>
      <sheetName val="Chapter-11"/>
      <sheetName val="Material"/>
      <sheetName val="int_cft"/>
      <sheetName val="count_3"/>
      <sheetName val="DATA"/>
      <sheetName val="PRICE BID"/>
      <sheetName val="Plant &amp;  Machinery"/>
      <sheetName val="Cross Drainage Works"/>
      <sheetName val="CORR_1"/>
      <sheetName val="Input_data"/>
      <sheetName val="Abut-9+741"/>
      <sheetName val="Abstract"/>
      <sheetName val="Main Data"/>
      <sheetName val="Longitudinal"/>
      <sheetName val="Information"/>
      <sheetName val="RATE_MAT (2)"/>
      <sheetName val="Design of two-way slab"/>
      <sheetName val="MATERIAL COST"/>
      <sheetName val="Letter"/>
    </sheetNames>
    <sheetDataSet>
      <sheetData sheetId="0"/>
      <sheetData sheetId="1"/>
      <sheetData sheetId="2">
        <row r="21">
          <cell r="E21">
            <v>12.7</v>
          </cell>
        </row>
      </sheetData>
      <sheetData sheetId="3"/>
      <sheetData sheetId="4"/>
      <sheetData sheetId="5"/>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trench"/>
      <sheetName val="Sheet1"/>
      <sheetName val="Sheet2"/>
      <sheetName val="Sheet3"/>
      <sheetName val="BOQ fire proofing"/>
      <sheetName val="Pumps"/>
      <sheetName val="CLAS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BOQ fire proofing"/>
      <sheetName val="Congty"/>
      <sheetName val="VPPN"/>
      <sheetName val="XN74"/>
      <sheetName val="XN54"/>
      <sheetName val="XN33"/>
      <sheetName val="NK96"/>
      <sheetName val="XL4Test5"/>
      <sheetName val="Gia VL"/>
      <sheetName val="Bang gia ca may"/>
      <sheetName val="Bang luong CB"/>
      <sheetName val="Bang P.tich CT"/>
      <sheetName val="D.toan chi tiet"/>
      <sheetName val="Bang TH Dtoan"/>
      <sheetName val="XXXXXXXX"/>
      <sheetName val="DTOAN"/>
      <sheetName val="THOP-KL"/>
      <sheetName val="CPHI KKS"/>
      <sheetName val="DG-KSAT"/>
      <sheetName val="TMDAUTU"/>
      <sheetName val="GTXLCHINH"/>
      <sheetName val="CPHI-TT"/>
      <sheetName val="CPHIBUVL"/>
      <sheetName val="CHENH VLCHINH"/>
      <sheetName val="GVLHT"/>
      <sheetName val="DGCT-QCH2"/>
      <sheetName val="XL4Poppy"/>
      <sheetName val="VL"/>
      <sheetName val="NHAN CONG"/>
      <sheetName val="MAY"/>
      <sheetName val="VUA"/>
      <sheetName val="DG CAU"/>
      <sheetName val="THOP CAU"/>
      <sheetName val="TLP CAU"/>
      <sheetName val="DAKT1"/>
      <sheetName val="Sheet3"/>
      <sheetName val="XL4Poppy (2)"/>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00000000"/>
      <sheetName val="Bthkl"/>
      <sheetName val="KM247"/>
      <sheetName val="km248"/>
      <sheetName val="Cable trench"/>
      <sheetName val="Pumps"/>
    </sheetNames>
    <sheetDataSet>
      <sheetData sheetId="0" refreshError="1"/>
      <sheetData sheetId="1" refreshError="1"/>
      <sheetData sheetId="2"/>
      <sheetData sheetId="3">
        <row r="8">
          <cell r="B8" t="str">
            <v>5S</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versheet"/>
      <sheetName val="Table Of Contents"/>
      <sheetName val="Relevant Documents"/>
      <sheetName val="General"/>
      <sheetName val="General(1)"/>
      <sheetName val="General (2)"/>
      <sheetName val="11KV_Loads"/>
      <sheetName val="unit18_415V_swbd"/>
      <sheetName val="unit19_415_swbd _new"/>
      <sheetName val="unit72_415_swbd"/>
      <sheetName val="emgy_board_415 _New"/>
      <sheetName val="emgy_board_Gen _New"/>
      <sheetName val="Index Of Revisions"/>
      <sheetName val="emgy_board_Gen _New (2)"/>
      <sheetName val="Comparison"/>
      <sheetName val="Summary"/>
      <sheetName val="emgy_board_Gen"/>
      <sheetName val="emgy_board_415"/>
      <sheetName val="unit19_415_swbd"/>
      <sheetName val="DI-ESTI"/>
      <sheetName val="Cable tren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revtrgt"/>
      <sheetName val="Coversheet"/>
      <sheetName val="DI-ESTI"/>
    </sheetNames>
    <sheetDataSet>
      <sheetData sheetId="0" refreshError="1"/>
      <sheetData sheetId="1" refreshError="1"/>
      <sheetData sheetId="2"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Civil BOQ"/>
      <sheetName val="Analysis"/>
      <sheetName val="4 Plumbing"/>
      <sheetName val="BP"/>
      <sheetName val="Sheet2"/>
      <sheetName val="Changed Analysis"/>
    </sheetNames>
    <sheetDataSet>
      <sheetData sheetId="0"/>
      <sheetData sheetId="1"/>
      <sheetData sheetId="2">
        <row r="311">
          <cell r="D311">
            <v>5.8</v>
          </cell>
        </row>
      </sheetData>
      <sheetData sheetId="3"/>
      <sheetData sheetId="4"/>
      <sheetData sheetId="5"/>
      <sheetData sheetId="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UNIT 40-180-SALES GAS"/>
      <sheetName val="UNIT 40_180_MGCS_INTERC .SYS"/>
      <sheetName val="UNIT 40_180_LGCS_INTERC. SYS"/>
      <sheetName val="UNIT_4E_220_STORAGE SYSTEM"/>
      <sheetName val="UNIT_40_230_FLARE SYSTEM"/>
      <sheetName val="UNIT 40_420_FUEL GAS SYSTEM"/>
      <sheetName val="UNIT 40_430_D_O_System"/>
      <sheetName val="UNIT 40_460_AIR SYSTEM"/>
      <sheetName val="UNIT_40_470 MAIN POWER GEN_"/>
      <sheetName val="UNIT_40_480_EMER_POWER GEN_"/>
      <sheetName val="UNIT 40_500_SEA WATER SYSTEM"/>
      <sheetName val="UNIT 40_520_COOLING WATER"/>
      <sheetName val="UNIT 40_530_DEMI WATER"/>
      <sheetName val="UNIT 40_530_POTABLE WATER"/>
      <sheetName val="UNIT 40_530_DESALINATED WATER"/>
      <sheetName val="UNIT 40_540_OPEN DRAIN SYSTEM"/>
      <sheetName val="UNIT 40_550_CLOSED DRAIN SYSTEM"/>
      <sheetName val="UNIT 40_600_INERT GAS SYSTEM"/>
      <sheetName val="UNIT 40_620 STEAM _ CONDEN"/>
      <sheetName val="UNIT 40_650_CAUSTIC_ACID ST "/>
      <sheetName val="UNIT 40_730_FIREFIGHTING SYSTE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 1"/>
      <sheetName val="Form 2"/>
      <sheetName val="Form 3"/>
      <sheetName val="Form 4"/>
      <sheetName val="Form 5"/>
      <sheetName val="Form 6"/>
      <sheetName val="Comparison Budget and tender"/>
      <sheetName val="Cash Flow "/>
      <sheetName val="Form 8"/>
      <sheetName val="Form 9"/>
      <sheetName val="Form 10"/>
      <sheetName val="Form 11"/>
      <sheetName val="Executive Summary"/>
      <sheetName val="Summary1"/>
      <sheetName val="S1BOQ"/>
      <sheetName val="S2groupcode"/>
      <sheetName val="S3workplanqty"/>
      <sheetName val="S3workplanamt"/>
      <sheetName val="S4timecycle"/>
      <sheetName val="S5escalation"/>
      <sheetName val="S8MATexp-code"/>
      <sheetName val="S6MATqty-code"/>
      <sheetName val="S7MATqty-grp"/>
      <sheetName val="S21Subcon"/>
      <sheetName val="S9wastage"/>
      <sheetName val="S10bomat"/>
      <sheetName val="S12EQPhrs"/>
      <sheetName val="S13cons"/>
      <sheetName val="S14spares"/>
      <sheetName val="S15POL"/>
      <sheetName val="S16Elec"/>
      <sheetName val="S17power"/>
      <sheetName val="S18EQPplan"/>
      <sheetName val="S19cap"/>
      <sheetName val="S20MSE Items"/>
      <sheetName val="S22PRW"/>
      <sheetName val="S23ManNos"/>
      <sheetName val="S24Mancost"/>
      <sheetName val="S25EQPrep"/>
      <sheetName val="S26EQPhire"/>
      <sheetName val="S27EQPlease"/>
      <sheetName val="S11EQPnorm"/>
      <sheetName val="S28Rev"/>
      <sheetName val="S29Prelitem"/>
      <sheetName val="S30Prelplant"/>
      <sheetName val="S31Prelitemdet"/>
      <sheetName val="Equipment details"/>
      <sheetName val="S32Prelexp"/>
      <sheetName val="S33Prelexpdet"/>
      <sheetName val="S34Dircost"/>
      <sheetName val="S35Indircost"/>
      <sheetName val="S36Prelimcost"/>
      <sheetName val="S37UnitCost"/>
      <sheetName val="S38stock"/>
      <sheetName val="S39liab"/>
      <sheetName val="S40Milestones"/>
      <sheetName val="S41MatProcurement"/>
      <sheetName val="S42HSE"/>
      <sheetName val="S43Taxa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ow r="28">
          <cell r="AF2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ow r="9">
          <cell r="U9">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ION SIEGE &amp; SITE"/>
      <sheetName val="Hypotheses"/>
      <sheetName val="Direction projet"/>
      <sheetName val="Manmonths"/>
      <sheetName val="Facilities-Offices JEBEL-ALI"/>
      <sheetName val="Facilities-Offices ARIAKE"/>
      <sheetName val="Facilities-Offices HOUSTON"/>
      <sheetName val="Missions to Jebel Ali"/>
      <sheetName val="Missions to Ariake"/>
      <sheetName val="PRT Services-REV B"/>
      <sheetName val="Engineering"/>
      <sheetName val="Company Facilities"/>
      <sheetName val="Offices in France"/>
      <sheetName val="Summary"/>
      <sheetName val="Calcul Couts"/>
      <sheetName val="COND_EXP"/>
      <sheetName val="DG3285"/>
      <sheetName val="moments-table(tri)"/>
    </sheetNames>
    <sheetDataSet>
      <sheetData sheetId="0" refreshError="1"/>
      <sheetData sheetId="1" refreshError="1"/>
      <sheetData sheetId="2">
        <row r="6">
          <cell r="AC6">
            <v>7.1210691973664382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Boq"/>
      <sheetName val="Calculations"/>
      <sheetName val="List"/>
      <sheetName val="Pre-cast"/>
      <sheetName val="ANALYSIS"/>
      <sheetName val="SPT vs PHI"/>
      <sheetName val="std.wt."/>
      <sheetName val="Pile cap"/>
      <sheetName val="RA-markate"/>
      <sheetName val="Material "/>
      <sheetName val="Pur"/>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moments-table(tri)"/>
      <sheetName val="conc-foot-gradeslab"/>
      <sheetName val="BOQ fire proofing"/>
      <sheetName val="149"/>
      <sheetName val="Design"/>
      <sheetName val="floor slab-RS2"/>
      <sheetName val="THK"/>
      <sheetName val="switch"/>
      <sheetName val="BOQ_Direct_selling cost"/>
      <sheetName val="dummy"/>
      <sheetName val="General Summary"/>
      <sheetName val="+X &amp; -X DIR PRE"/>
      <sheetName val="E1"/>
      <sheetName val="Civil_Boq"/>
      <sheetName val="Civil_Boq1"/>
      <sheetName val="SPT_vs_PHI"/>
      <sheetName val="std_wt_"/>
      <sheetName val="Pile_cap"/>
      <sheetName val="Material_"/>
      <sheetName val="Chandrawal_-1"/>
      <sheetName val="Guide_VAT_ED_Credit"/>
      <sheetName val="AMC_&amp;_O&amp;M"/>
      <sheetName val="JTS_Costing"/>
      <sheetName val="Staff Forecast spread"/>
      <sheetName val="PRECAST lightconc-II"/>
      <sheetName val="DG3285"/>
      <sheetName val="PIpe Pushing"/>
      <sheetName val="Break up Sheet"/>
      <sheetName val="sept-plan"/>
      <sheetName val="d-safe specs"/>
      <sheetName val="RES-PLANNING"/>
      <sheetName val="Pay_Sep06"/>
      <sheetName val="1.01 (a)"/>
      <sheetName val="WPR-IV"/>
      <sheetName val="Labour productivity"/>
      <sheetName val="Sheet1"/>
      <sheetName val="P&amp;L-BDMC"/>
      <sheetName val="MainSheet"/>
      <sheetName val="Sheet4"/>
      <sheetName val="Main-Material"/>
      <sheetName val="girder"/>
      <sheetName val="13. Steel - Ratio"/>
      <sheetName val="Footings"/>
      <sheetName val="GBW"/>
      <sheetName val="shuttering"/>
      <sheetName val="FORM7"/>
      <sheetName val="2.1 受電設備棟"/>
      <sheetName val="2.2 受・防火水槽"/>
      <sheetName val="2.3 排水処理設備棟"/>
      <sheetName val="2.4 倉庫棟"/>
      <sheetName val="2.5 守衛棟"/>
      <sheetName val="Balance sheet"/>
      <sheetName val="Legal Risk Analysis"/>
      <sheetName val="COLUMN"/>
      <sheetName val="Abstract Sheet"/>
      <sheetName val="Supplier"/>
      <sheetName val="CABLE DATA"/>
      <sheetName val="organi synthesis lab"/>
      <sheetName val="INPUT SHEET"/>
      <sheetName val="Extra Item"/>
      <sheetName val="Fill this out first..."/>
      <sheetName val="Lead"/>
      <sheetName val="Labour &amp; Plant"/>
      <sheetName val="Project Budget Worksheet"/>
      <sheetName val="TASKRSRC (2)"/>
      <sheetName val="TARGET"/>
      <sheetName val="BASELINE"/>
      <sheetName val="Notes"/>
      <sheetName val="Fin Sum"/>
      <sheetName val="TBAL9697 -group wise  sdpl"/>
      <sheetName val="RCC,Ret. Wall"/>
      <sheetName val="Costing"/>
      <sheetName val="DETAIL SHEET"/>
      <sheetName val="spool"/>
      <sheetName val="UNIT2"/>
      <sheetName val="V.O.4 - PCC Qty"/>
      <sheetName val="Field Values"/>
      <sheetName val="BOQ -II ph 2"/>
      <sheetName val="PointNo.5"/>
      <sheetName val="Detail"/>
      <sheetName val="T1037 Entire School"/>
      <sheetName val="d-safe DELUXE"/>
      <sheetName val="RMZ Summary"/>
      <sheetName val="Employee List"/>
      <sheetName val="Input"/>
      <sheetName val="p&amp;m"/>
      <sheetName val="1st and 4th flight"/>
      <sheetName val="AOR"/>
      <sheetName val="x-items"/>
      <sheetName val="BOQ_Direct_selling_cost"/>
      <sheetName val="Staff_Forecast_spread"/>
      <sheetName val="floor_slab-RS2"/>
      <sheetName val="PRECAST_lightconc-II"/>
      <sheetName val="PIpe_Pushing"/>
      <sheetName val="d-safe_specs"/>
      <sheetName val="Labour_productivity"/>
      <sheetName val="BOQ (2)"/>
      <sheetName val="RECAPITULATION"/>
      <sheetName val="STAFFSCHED "/>
      <sheetName val="dBase"/>
      <sheetName val="PRECAST lightconc_II"/>
      <sheetName val="Voucher"/>
      <sheetName val="Basement Budget"/>
      <sheetName val="IO LIST"/>
      <sheetName val="Plant Cost"/>
      <sheetName val="LABOUR"/>
      <sheetName val="Cul_detail"/>
      <sheetName val="UNIT WT LIST"/>
      <sheetName val="Sheet7"/>
      <sheetName val="ORDER BOOKING"/>
      <sheetName val="Non-Factory"/>
      <sheetName val="ORDER_BOOKING"/>
      <sheetName val="Vehicles"/>
      <sheetName val="VCH-SLC"/>
      <sheetName val="except wiring"/>
      <sheetName val="3cd Annexure"/>
      <sheetName val="cubes_M20"/>
      <sheetName val="Construction"/>
      <sheetName val=" "/>
      <sheetName val="Cover sheet"/>
      <sheetName val="COST"/>
      <sheetName val="Site wise NADs"/>
      <sheetName val="Sheet3"/>
      <sheetName val="Sheet2"/>
      <sheetName val="LANGUAGE"/>
      <sheetName val="Aseet1998"/>
      <sheetName val="PC Master List"/>
      <sheetName val="Storage"/>
      <sheetName val="foot"/>
      <sheetName val="3-3(750)"/>
      <sheetName val="Calc1"/>
      <sheetName val="Cal"/>
      <sheetName val="Data"/>
      <sheetName val="Boiler&amp;TG"/>
      <sheetName val="WWR"/>
      <sheetName val="Equipment"/>
      <sheetName val="labour coeff"/>
      <sheetName val="Macro1"/>
      <sheetName val="tower"/>
      <sheetName val="main"/>
      <sheetName val="Site Dev BOQ"/>
      <sheetName val="10. &amp; 11. Rate Code &amp; BQ"/>
      <sheetName val="Names&amp;Cases"/>
      <sheetName val="Scope Reconciliation"/>
      <sheetName val="analysis-superstructure"/>
      <sheetName val="loadcal"/>
      <sheetName val="Current Bill MB ref"/>
      <sheetName val="NT LBH"/>
      <sheetName val="Desgn(zone I)"/>
      <sheetName val="Summary_Bank"/>
      <sheetName val="purpose&amp;input"/>
      <sheetName val="Electrical"/>
      <sheetName val="Build-up"/>
      <sheetName val="Calc_ISC"/>
      <sheetName val="AK-Offertstammblatt"/>
      <sheetName val="Tender Summary"/>
      <sheetName val="BOQ_SERENO"/>
      <sheetName val="T&amp;M"/>
      <sheetName val="M.S."/>
      <sheetName val="INPUT_SHEET"/>
      <sheetName val="BOQ Distribution"/>
      <sheetName val="Purlin(7m)"/>
      <sheetName val="IS3370"/>
      <sheetName val="IS456"/>
      <sheetName val="Table10"/>
      <sheetName val="Table11"/>
      <sheetName val="Table12"/>
      <sheetName val="Table9"/>
      <sheetName val="Fee Rate Summary"/>
      <sheetName val="beam-reinft"/>
      <sheetName val="Rate analysis"/>
      <sheetName val="@Risk Inputs"/>
      <sheetName val="Calc"/>
      <sheetName val="Depreciation Calc"/>
      <sheetName val="b.s.-p.l.-sch."/>
      <sheetName val="Factors"/>
      <sheetName val="master"/>
      <sheetName val="Intro."/>
      <sheetName val="lookups"/>
      <sheetName val="Project Details.."/>
      <sheetName val="Top Line - WWW"/>
      <sheetName val="Wire"/>
      <sheetName val="Publicbuilding"/>
      <sheetName val="Mat_Cost"/>
      <sheetName val="Staff Acco."/>
      <sheetName val="Activity Costing Breakup"/>
      <sheetName val="Unit Rate(CIS)"/>
      <sheetName val="Conc Analysis"/>
      <sheetName val="Basic "/>
      <sheetName val="Back-UP IRA (CIS)"/>
      <sheetName val="Precast IRA"/>
      <sheetName val="Precast IRA Backup"/>
      <sheetName val="Precast RA"/>
      <sheetName val="HEAD"/>
      <sheetName val="Invoice"/>
      <sheetName val="POI_MASTER_1"/>
      <sheetName val="nglrpt042964858"/>
      <sheetName val="Trial Bal"/>
      <sheetName val="Block A - BOQ"/>
      <sheetName val="TF"/>
      <sheetName val="Direction projet"/>
      <sheetName val="S0"/>
      <sheetName val="RANGE"/>
      <sheetName val="DB_ET200(R. A)"/>
      <sheetName val="Database"/>
      <sheetName val="SIZING"/>
      <sheetName val="Testing"/>
      <sheetName val="손익현황"/>
      <sheetName val="현황CODE"/>
      <sheetName val="SP&amp;ST 제출가"/>
      <sheetName val="石炭性状"/>
      <sheetName val="가격분석@1100(990104)"/>
      <sheetName val="Escalation"/>
      <sheetName val="NCCALC11"/>
      <sheetName val="공정율 기초 Data"/>
      <sheetName val="제출계산서"/>
      <sheetName val="공사내역"/>
      <sheetName val=" Pricing_110512.xlsx"/>
      <sheetName val="당초"/>
      <sheetName val="BQ"/>
      <sheetName val="POWER"/>
      <sheetName val="BS Schdl- 1 &amp; 2"/>
      <sheetName val="final abstract"/>
      <sheetName val="월선수금"/>
      <sheetName val="OHT_Abs"/>
      <sheetName val="Indices"/>
      <sheetName val="rev 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khuat-G3"/>
      <sheetName val="TL rieng"/>
      <sheetName val="CThep-G3"/>
      <sheetName val="CThep-G4 G4B G5"/>
      <sheetName val="Khuon nap"/>
      <sheetName val="Lkhuat-G4B"/>
      <sheetName val="CThep-G6"/>
      <sheetName val="CThep-G6 bo"/>
      <sheetName val="CThep-G3G4G4BG5G6 bosung"/>
      <sheetName val="Lkhuat-G6"/>
      <sheetName val="Lkhuat-G5"/>
      <sheetName val="LKhuat-G4"/>
      <sheetName val="CThep-G62"/>
      <sheetName val="CThep-GoiDem"/>
      <sheetName val="CThep-G3 c"/>
      <sheetName val="Civil Boq"/>
      <sheetName val="TF"/>
    </sheetNames>
    <sheetDataSet>
      <sheetData sheetId="0"/>
      <sheetData sheetId="1">
        <row r="7">
          <cell r="A7">
            <v>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N3982 (SCL)"/>
      <sheetName val="DG248"/>
      <sheetName val="DG3983"/>
      <sheetName val="DG3285"/>
      <sheetName val="TL rieng"/>
      <sheetName val="12CGOU"/>
      <sheetName val="Civil Boq"/>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Final"/>
      <sheetName val="VALIDATION"/>
      <sheetName val="Sheet1"/>
      <sheetName val="DG3285"/>
      <sheetName val="TL rie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DE CALCUL"/>
      <sheetName val="MACROS"/>
      <sheetName val="GUIDE"/>
      <sheetName val="DATE"/>
      <sheetName val="CAL"/>
      <sheetName val="VALIDATION"/>
    </sheetNames>
    <sheetDataSet>
      <sheetData sheetId="0" refreshError="1"/>
      <sheetData sheetId="1">
        <row r="8">
          <cell r="G8">
            <v>0</v>
          </cell>
        </row>
      </sheetData>
      <sheetData sheetId="2" refreshError="1"/>
      <sheetData sheetId="3" refreshError="1"/>
      <sheetData sheetId="4" refreshError="1"/>
      <sheetData sheetId="5"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Lana-1"/>
      <sheetName val="LLana2"/>
      <sheetName val="D&amp;LLoad"/>
      <sheetName val="Abutment "/>
      <sheetName val="WSa1"/>
      <sheetName val="WSa2"/>
      <sheetName val="WSa3"/>
      <sheetName val="pier"/>
      <sheetName val="pier1"/>
      <sheetName val="WSp1"/>
      <sheetName val="WSp2"/>
      <sheetName val="WSp3"/>
      <sheetName val="PierFound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DG3285"/>
      <sheetName val="TL rieng"/>
      <sheetName val="Du thau Huu Lung - Lang Son"/>
      <sheetName val="MACROS"/>
      <sheetName val="DAT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hi tiet"/>
      <sheetName val="Civil Boq"/>
      <sheetName val="analysis-superstructure"/>
      <sheetName val="WAGES"/>
      <sheetName val="1.1 KV"/>
      <sheetName val="REGIONWISE POPULATION"/>
      <sheetName val="cal"/>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Cul_detail"/>
      <sheetName val="Spacing of Delineators"/>
      <sheetName val="Bills of Quantities"/>
      <sheetName val="data"/>
      <sheetName val="FORM6&amp;7"/>
      <sheetName val="dBase"/>
      <sheetName val="water prop."/>
      <sheetName val="STEEL STRUCTURE"/>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dummy"/>
      <sheetName val="Breakup"/>
      <sheetName val="Labour"/>
      <sheetName val="Material"/>
      <sheetName val="Plant &amp;  Machinery"/>
      <sheetName val="Report"/>
      <sheetName val="Ranges"/>
      <sheetName val="ENCL10-C"/>
      <sheetName val="Material "/>
      <sheetName val="Abutment "/>
      <sheetName 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XL4Poppy"/>
      <sheetName val="00000000"/>
      <sheetName val="FORM7"/>
      <sheetName val="Chi tiet"/>
      <sheetName val="CH3-TBA"/>
      <sheetName val="CH3-DZ"/>
      <sheetName val="Factor"/>
      <sheetName val="c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TRENCH"/>
      <sheetName val="SS#35"/>
      <sheetName val="WORKING SHEET SS#35"/>
      <sheetName val="PUMP"/>
      <sheetName val="Gia vat tu"/>
      <sheetName val="FORM7"/>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WORKING SHEET SS#35"/>
      <sheetName val="working sheet"/>
      <sheetName val="Backup"/>
      <sheetName val="Civil &amp; Structral  MTO summary "/>
      <sheetName val="Backup qty"/>
      <sheetName val="Back-up qtys."/>
      <sheetName val="AGEU&amp;TGTU "/>
      <sheetName val="Sheet3"/>
      <sheetName val="CABLE TRENCH"/>
      <sheetName val="cal"/>
      <sheetName val="CLA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inter"/>
      <sheetName val="UnitList"/>
      <sheetName val="A(Rev.3)"/>
      <sheetName val="갑지"/>
      <sheetName val="#2CDU실행"/>
      <sheetName val="Summary Sheets"/>
      <sheetName val="CAT_5"/>
      <sheetName val="대비표"/>
      <sheetName val="설계명세서"/>
      <sheetName val="품셈표"/>
      <sheetName val="Macro1"/>
      <sheetName val="해평견적"/>
      <sheetName val="각계정원장"/>
      <sheetName val="지수"/>
      <sheetName val="costing_CV"/>
      <sheetName val="C-850R0.XLS"/>
      <sheetName val="h-013211-2"/>
      <sheetName val="Pittsburge"/>
      <sheetName val="HVAC"/>
      <sheetName val="Aweer"/>
      <sheetName val="EQUIPMENT"/>
      <sheetName val="activity"/>
      <sheetName val="원가계산"/>
      <sheetName val="일위대가목차"/>
      <sheetName val="철거산출근거"/>
      <sheetName val="총괄표"/>
      <sheetName val="CC16-내역서"/>
      <sheetName val="AILC004"/>
      <sheetName val="data"/>
      <sheetName val="cal"/>
      <sheetName val="Civil"/>
      <sheetName val="DB@Acess"/>
      <sheetName val="GEN PROG"/>
      <sheetName val="TOTAL MHRS"/>
      <sheetName val="TENDER PROG."/>
      <sheetName val="대치판정"/>
      <sheetName val="TIE-INS"/>
      <sheetName val="jobhist"/>
      <sheetName val="معد .ث"/>
      <sheetName val="Factor"/>
      <sheetName val="영업소실적"/>
      <sheetName val="TTL"/>
      <sheetName val="INPUT DATA"/>
      <sheetName val="POWER"/>
      <sheetName val="D-623D"/>
      <sheetName val="ASCEandUBC"/>
      <sheetName val="주관사업"/>
      <sheetName val="내역서"/>
      <sheetName val="장비종합부표"/>
      <sheetName val="집계표_식재"/>
      <sheetName val="부표"/>
      <sheetName val="기계내역서"/>
      <sheetName val="Testing"/>
      <sheetName val="1단계"/>
      <sheetName val="COA-17"/>
      <sheetName val="C-18"/>
      <sheetName val="calc"/>
      <sheetName val="Q5434 EQ LIST"/>
      <sheetName val="BQMPALOC"/>
      <sheetName val="TK1501"/>
      <sheetName val="D-3503"/>
      <sheetName val="Contents"/>
      <sheetName val="Summary"/>
      <sheetName val="Macro"/>
      <sheetName val="Taux"/>
      <sheetName val="Graph (LGEN)"/>
      <sheetName val="out_prog"/>
      <sheetName val="선적schedule (2)"/>
      <sheetName val="1.설계조건"/>
      <sheetName val="전기"/>
      <sheetName val="1.cs sl(150)"/>
      <sheetName val="steam table"/>
      <sheetName val="집계표(OPTION)"/>
      <sheetName val="을"/>
      <sheetName val="계약자료"/>
      <sheetName val="Panel제작명세서"/>
      <sheetName val="member design"/>
      <sheetName val="design criteria"/>
      <sheetName val="soil bearing check"/>
      <sheetName val="CA1"/>
      <sheetName val="CODE"/>
      <sheetName val="건축내역"/>
      <sheetName val="견적기준"/>
      <sheetName val="SYS_DB"/>
      <sheetName val="COVER"/>
      <sheetName val="자재코드"/>
      <sheetName val="Table"/>
      <sheetName val="기초입력"/>
      <sheetName val="M-EQPT-Z"/>
      <sheetName val="소화실적"/>
      <sheetName val="Eq. Mobilization"/>
      <sheetName val="PROCURE"/>
      <sheetName val="DATE"/>
      <sheetName val="Gia vat tu"/>
      <sheetName val="w't table"/>
      <sheetName val=" Sum"/>
      <sheetName val="BM"/>
      <sheetName val="sum"/>
      <sheetName val="단가"/>
      <sheetName val="working load at the btm ft."/>
      <sheetName val="plan&amp;section of foundation"/>
      <sheetName val="PANEL가격"/>
      <sheetName val="POL6차-PIPING"/>
      <sheetName val="Rates"/>
      <sheetName val="WITHOUT C&amp;I PROFIT (3)"/>
      <sheetName val="EIs Progress"/>
      <sheetName val="RFP003B"/>
      <sheetName val="SH-F"/>
      <sheetName val="BoQ"/>
      <sheetName val="#REF"/>
      <sheetName val="가도공"/>
      <sheetName val="INDEX"/>
      <sheetName val="Food court "/>
      <sheetName val="steel data sheet"/>
      <sheetName val="부재력정리"/>
      <sheetName val="WIND"/>
      <sheetName val="Sheet1"/>
      <sheetName val="DESIGN"/>
      <sheetName val="일위대가표"/>
      <sheetName val="cable-data"/>
      <sheetName val="EQT-ESTN"/>
      <sheetName val="IN"/>
      <sheetName val="合成単価作成表-BLDG"/>
      <sheetName val="공내역서"/>
      <sheetName val="실행"/>
      <sheetName val="SAKUB"/>
      <sheetName val="DI-ESTI"/>
      <sheetName val="Piping BQ for one turbine"/>
      <sheetName val=" 갑지"/>
      <sheetName val="데이타"/>
      <sheetName val="식재인부"/>
      <sheetName val="T RFA"/>
      <sheetName val="12CGOU"/>
      <sheetName val="PipWT"/>
      <sheetName val="Pump"/>
      <sheetName val="Chi tiet"/>
      <sheetName val="자재단가조사표-수목"/>
      <sheetName val="cable"/>
      <sheetName val="C1.공사개요"/>
      <sheetName val="401"/>
      <sheetName val="Sheet5"/>
      <sheetName val="도"/>
      <sheetName val="노임단가"/>
      <sheetName val="수목단가"/>
      <sheetName val="시설수량표"/>
      <sheetName val="식재수량표"/>
      <sheetName val="일위목록"/>
      <sheetName val="자재단가"/>
      <sheetName val="출금실적"/>
      <sheetName val="wg"/>
      <sheetName val="PDS U-1400"/>
      <sheetName val="공문"/>
      <sheetName val="AU"/>
      <sheetName val="SS2"/>
      <sheetName val="Hoja1"/>
      <sheetName val="Sheet2"/>
      <sheetName val="For-2"/>
      <sheetName val="piping"/>
      <sheetName val="PROCESS"/>
      <sheetName val="Welcome"/>
      <sheetName val="DESIGN CRETERIA"/>
      <sheetName val="COVERSHEET"/>
      <sheetName val="DESIGN_CRETERIA"/>
      <sheetName val="조도계산서 (도서)"/>
      <sheetName val="Spec1"/>
      <sheetName val="Unit_Name"/>
      <sheetName val="노임9월"/>
      <sheetName val="価格"/>
      <sheetName val="Compressors"/>
      <sheetName val="C3"/>
      <sheetName val="A"/>
      <sheetName val="eq_data"/>
      <sheetName val="4K - (6a) Non Manual Breakdown"/>
      <sheetName val="PRICE-COMP"/>
      <sheetName val="CBL_OD"/>
      <sheetName val="현장관리비 산출내역"/>
      <sheetName val="P3data"/>
      <sheetName val="Template Settings"/>
      <sheetName val="PIPES"/>
      <sheetName val="PI"/>
      <sheetName val="Contract Unit Rates Rev.00"/>
      <sheetName val="Estimate"/>
      <sheetName val="A(Rev_3)"/>
      <sheetName val="معد__ث"/>
      <sheetName val="C-850R0_XLS"/>
      <sheetName val="Summary_Sheets"/>
      <sheetName val="GEN_PROG"/>
      <sheetName val="TOTAL_MHRS"/>
      <sheetName val="TENDER_PROG_"/>
      <sheetName val="Q5434_EQ_LIST"/>
      <sheetName val="A(Rev_3)1"/>
      <sheetName val="معد__ث1"/>
      <sheetName val="C-850R0_XLS1"/>
      <sheetName val="Summary_Sheets1"/>
      <sheetName val="GEN_PROG1"/>
      <sheetName val="TOTAL_MHRS1"/>
      <sheetName val="TENDER_PROG_1"/>
      <sheetName val="Q5434_EQ_LIST1"/>
      <sheetName val="SILICATE"/>
      <sheetName val="WORKING SHEET SS#35"/>
      <sheetName val="RFP003A"/>
      <sheetName val="Indirect Sheets"/>
      <sheetName val="강재"/>
      <sheetName val="월현황(내자)"/>
      <sheetName val="인원현황"/>
      <sheetName val="정산서  (2)"/>
      <sheetName val="BCPAB"/>
      <sheetName val="토목(대안)"/>
      <sheetName val="할증 "/>
      <sheetName val="뜃맟뭁돽띿맟?-BLDG"/>
      <sheetName val="공정계획(내부계획25%,내부w.f)"/>
      <sheetName val="단가집"/>
      <sheetName val="Main"/>
      <sheetName val="BATCH"/>
      <sheetName val="99노임기준"/>
      <sheetName val="일위대가"/>
      <sheetName val="제잡비"/>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Variations"/>
      <sheetName val="DELIVERIES"/>
      <sheetName val="수지표"/>
      <sheetName val="셀명"/>
      <sheetName val="참고자료"/>
      <sheetName val="見積条件入力画面"/>
      <sheetName val="性能取り纏め"/>
      <sheetName val="Piping Design Data"/>
      <sheetName val="2-1. 경관조명 내역총괄표"/>
      <sheetName val="PIPE"/>
      <sheetName val="FLANGE"/>
      <sheetName val="VALVE"/>
      <sheetName val="설계"/>
      <sheetName val="SUBCON"/>
      <sheetName val="환율표"/>
      <sheetName val="뜃맟뭁돽띿맟_-BLDG"/>
      <sheetName val="Price Summary Sheet (Final BQ)"/>
      <sheetName val="Currencies"/>
      <sheetName val="PROGRESS"/>
      <sheetName val="재료비"/>
      <sheetName val="경비"/>
      <sheetName val="AREA"/>
      <sheetName val="D"/>
      <sheetName val="관련부서"/>
      <sheetName val="Report"/>
      <sheetName val="추가예산"/>
      <sheetName val="갑지(추정)"/>
      <sheetName val="공통(20-91)"/>
      <sheetName val="노임이"/>
      <sheetName val="공사_산출"/>
      <sheetName val="산출내역"/>
      <sheetName val="준공조서갑지"/>
      <sheetName val="PSV2701F"/>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PBS"/>
      <sheetName val="편성절차"/>
      <sheetName val="cement"/>
      <sheetName val="TOT-SUM"/>
      <sheetName val="예총"/>
      <sheetName val="UNIT PRICES"/>
      <sheetName val="Pile"/>
      <sheetName val="TRANSFER"/>
      <sheetName val="기자재집계"/>
      <sheetName val="견적대비표"/>
      <sheetName val="토공개요"/>
      <sheetName val="실행내역"/>
      <sheetName val="name"/>
      <sheetName val="設計条件"/>
      <sheetName val="BASE DE PERSONAL"/>
      <sheetName val="Facturación A"/>
      <sheetName val="TABLAS"/>
      <sheetName val="RES"/>
      <sheetName val="Precall-new"/>
      <sheetName val="A01"/>
      <sheetName val="A11"/>
      <sheetName val="A16"/>
      <sheetName val="A02"/>
      <sheetName val="A03"/>
      <sheetName val="A04"/>
      <sheetName val="A05"/>
      <sheetName val="A06"/>
      <sheetName val="A07"/>
      <sheetName val="A08a"/>
      <sheetName val="A08b"/>
      <sheetName val="CE-ORG"/>
      <sheetName val="Segment"/>
      <sheetName val="laroux"/>
      <sheetName val="단중표-ST"/>
      <sheetName val="잡비계산"/>
      <sheetName val="공사비 내역 (가)"/>
      <sheetName val="2002년12월"/>
      <sheetName val="M"/>
      <sheetName val="MEPS Structural Steel Index 비교"/>
      <sheetName val="MEPS CS Index 비교"/>
      <sheetName val="98수지배부(수정)"/>
      <sheetName val="실행철강하도"/>
      <sheetName val="wp DESCRIPTION"/>
      <sheetName val="Civil Boq"/>
      <sheetName val="_REF"/>
      <sheetName val="수주추정"/>
      <sheetName val="마감집계(창고)"/>
      <sheetName val="도장면적"/>
      <sheetName val="마감산근(창고)"/>
      <sheetName val="자금운영"/>
      <sheetName val="골조시행"/>
      <sheetName val="명세서"/>
      <sheetName val="실행내역서 "/>
      <sheetName val="Total"/>
      <sheetName val="건축명"/>
      <sheetName val="기계명"/>
      <sheetName val="전기명"/>
      <sheetName val="토목명"/>
      <sheetName val="부서코드표"/>
      <sheetName val="간접비차이_PJT"/>
      <sheetName val="자바라1"/>
      <sheetName val="상반기손익차2총괄"/>
      <sheetName val="1100-1200-1300-1910-2140-LEV 2"/>
      <sheetName val="Process Piping"/>
      <sheetName val="??-BLDG"/>
      <sheetName val="KP1590_E"/>
      <sheetName val="BOX 설계"/>
      <sheetName val="SKETCH"/>
      <sheetName val="CAL."/>
      <sheetName val="Project Details"/>
      <sheetName val="CONSTANTES"/>
      <sheetName val="대창(함평)"/>
      <sheetName val="대창(장성)"/>
      <sheetName val="경비집계"/>
      <sheetName val="ESTI."/>
      <sheetName val="96.12"/>
      <sheetName val="3514-HV-0201"/>
      <sheetName val="PROJECT"/>
      <sheetName val="Weights"/>
      <sheetName val="P2-Project Data"/>
      <sheetName val="9-1차이내역"/>
      <sheetName val="Questions to Vendor"/>
      <sheetName val="MEXICO-C"/>
      <sheetName val="15100"/>
      <sheetName val="당진1,2호기전선관설치및접지4차공사내역서-을지"/>
      <sheetName val="costing_Misc"/>
      <sheetName val="__-BLDG"/>
      <sheetName val="hGH정제"/>
      <sheetName val="거래처계좌"/>
      <sheetName val="INDIRECTS"/>
      <sheetName val="설명서 "/>
      <sheetName val="토목"/>
      <sheetName val="T_RFA"/>
      <sheetName val="w't_table"/>
      <sheetName val="INPUT_DATA"/>
      <sheetName val="1_cs_sl(150)"/>
      <sheetName val="steam_table"/>
      <sheetName val="member_design"/>
      <sheetName val="design_criteria"/>
      <sheetName val="soil_bearing_check"/>
      <sheetName val="Eq__Mobilization"/>
      <sheetName val="Gia_vat_tu"/>
      <sheetName val="1_설계조건"/>
      <sheetName val="Food_court_"/>
      <sheetName val="steel_data_sheet"/>
      <sheetName val="CLDL9131"/>
      <sheetName val="PDS_U-1400"/>
      <sheetName val="Graph_(LGEN)"/>
      <sheetName val="선적schedule_(2)"/>
      <sheetName val="_Sum"/>
      <sheetName val="WITHOUT_C&amp;I_PROFIT_(3)"/>
      <sheetName val="EIs_Progress"/>
      <sheetName val="C1_공사개요"/>
      <sheetName val="Sheet1 (2)"/>
      <sheetName val="VALIDATION"/>
      <sheetName val="CABLE TRENCH"/>
      <sheetName val="ANSI"/>
      <sheetName val="Purlin(7m)"/>
      <sheetName val="Information"/>
      <sheetName val="D25"/>
      <sheetName val="D22"/>
      <sheetName val="STAND98"/>
      <sheetName val="WIP"/>
      <sheetName val="T_RFA1"/>
      <sheetName val="w't_table1"/>
      <sheetName val="INPUT_DATA1"/>
      <sheetName val="1_cs_sl(150)1"/>
      <sheetName val="steam_table1"/>
      <sheetName val="member_design1"/>
      <sheetName val="design_criteria1"/>
      <sheetName val="soil_bearing_check1"/>
      <sheetName val="Eq__Mobilization1"/>
      <sheetName val="Gia_vat_tu1"/>
      <sheetName val="1_설계조건1"/>
      <sheetName val="Food_court_1"/>
      <sheetName val="steel_data_sheet1"/>
      <sheetName val="Chi_tiet"/>
      <sheetName val="Contract_Unit_Rates_Rev_00"/>
      <sheetName val="working_load_at_the_btm_ft_"/>
      <sheetName val="plan&amp;section_of_foundation"/>
      <sheetName val="CLASS"/>
      <sheetName val="表三"/>
      <sheetName val="manhour"/>
      <sheetName val="1"/>
      <sheetName val="대공종"/>
      <sheetName val="Cash Flow viking"/>
      <sheetName val="공사비_NDE"/>
      <sheetName val="DB_ET200(R. A)"/>
      <sheetName val="7-2"/>
      <sheetName val="BP"/>
      <sheetName val="DATA1"/>
      <sheetName val="왕갑지"/>
      <sheetName val="Sheet3"/>
      <sheetName val="Sheet4"/>
      <sheetName val="Sheet6"/>
      <sheetName val="Sheet7"/>
      <sheetName val="Sheet8"/>
      <sheetName val="Sheet9"/>
      <sheetName val="Sheet10"/>
      <sheetName val="Sheet11"/>
      <sheetName val="Sheet12"/>
      <sheetName val="Sheet13"/>
      <sheetName val="Sheet14"/>
      <sheetName val="Sheet15"/>
      <sheetName val="Sheet16"/>
      <sheetName val="2. Project Orgarnization(Site)"/>
      <sheetName val="Katsayılar"/>
      <sheetName val="12(762mm)套管"/>
      <sheetName val="pile Fabrication"/>
      <sheetName val="Manpower"/>
      <sheetName val="CONST"/>
      <sheetName val="MFG_TAG"/>
      <sheetName val="OUTICOLP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sheetData sheetId="391"/>
      <sheetData sheetId="392"/>
      <sheetData sheetId="393"/>
      <sheetData sheetId="394"/>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비교"/>
      <sheetName val="인원"/>
      <sheetName val="간접비 총괄표"/>
      <sheetName val="간접비 내역"/>
      <sheetName val="인원계획"/>
    </sheetNames>
    <sheetDataSet>
      <sheetData sheetId="0" refreshError="1"/>
      <sheetData sheetId="1" refreshError="1"/>
      <sheetData sheetId="2" refreshError="1"/>
      <sheetData sheetId="3"/>
      <sheetData sheetId="4" refreshError="1"/>
      <sheetData sheetId="5"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ALIFICATION INFORMATION"/>
      <sheetName val="CHECKLIST"/>
      <sheetName val="BLPL QTY 04072025"/>
      <sheetName val="CONST PROGRAM"/>
      <sheetName val="Main Menu"/>
      <sheetName val="BOQ FCDJHANJHARPUR"/>
      <sheetName val="BOQ-CHAKIA"/>
      <sheetName val="BOQ-MOKAMA"/>
      <sheetName val="CALC MOKAMA"/>
      <sheetName val="analysis"/>
      <sheetName val="BASIC INPUT"/>
      <sheetName val="Input"/>
      <sheetName val="Calc. of Rate per Hr. "/>
      <sheetName val="Cost of Misc. Machinery"/>
      <sheetName val="agg input"/>
      <sheetName val="AGG BY RAIL"/>
      <sheetName val="RAILWAY FREIGHT"/>
    </sheetNames>
    <sheetDataSet>
      <sheetData sheetId="0">
        <row r="23">
          <cell r="B23" t="str">
            <v>RESTORATION AND LINING OF SONE WESTERN LINK CANAL</v>
          </cell>
        </row>
        <row r="24">
          <cell r="B24" t="str">
            <v>CONSTRUCTION OF CANAL AND ITS LINING WORK AND STRUCTURES FROM R.D. 806.40 TO R.D. 827.70 UNDER TIRHUT MAIN CANAL</v>
          </cell>
        </row>
        <row r="25">
          <cell r="B25" t="str">
            <v>Widening and Strengthening of Samastipur-Dalsinghsarai Road in Km. 20.00 to Km. 28.80 (Total Length 7.900 Km.) for the year 2018-19</v>
          </cell>
        </row>
        <row r="26">
          <cell r="B26" t="str">
            <v>Widening &amp; Strengthening of Dharraura Chowk to Mazampur Bajidpur-Bahera Jhanjharpur road in km 0.0 to 11.64 in darbhanga district under Road Division, Benipur for the year 2019-20</v>
          </cell>
        </row>
        <row r="27">
          <cell r="B27" t="str">
            <v>Widening &amp; Strengthening of Supaul to Bauram Road  in km 0.00 to 12.20 under Road Division Benipur for the year 2019-20Widening &amp; Strengthening of Supaul to Bauram Road  in km 0.00 to 12.20 under Road Division Benipur for the year 2019-20</v>
          </cell>
        </row>
        <row r="28">
          <cell r="B28" t="str">
            <v>Widening &amp; Strengthening work of Vishwakarma Chowk to Guabadi,Narayanpipar, Chaurahi Block Head Via-Bakhadda Chowk of Cheriya Bariyarpur Block for the year 2019-20.</v>
          </cell>
        </row>
        <row r="29">
          <cell r="B29" t="str">
            <v>Widening and Strengthening (from Single Lane to Double Lane) of Turki (N.H.-77)-Saraiya (N.H.-102) Road (Km 0.000 to Km 21.825) under PMGSY (RCP-LWE) in the district of Muzaffarpur, Bihar for the year 2019-20 (Package No. BR23RC-119 )</v>
          </cell>
        </row>
        <row r="30">
          <cell r="B30" t="str">
            <v>Widening and Strenthening of Road from Basariya, NH-28 to Sarairanjan, NH-103 via Ramnagar chowk (Bella-Megh chowk), Jhakhra, Sarairanjan, Saraiya, Morwa under Road Division, Rosera from Ch. Km. 5.600 to 12.270 for the year 2018-19.</v>
          </cell>
        </row>
        <row r="31">
          <cell r="B31" t="str">
            <v xml:space="preserve">Widening and Strengthening of Magardahighat to Silout (Durga Asthan) Road in Km 0.00 to 5.00 (Total Length - 5.00 Km) for the year 2019-20. </v>
          </cell>
        </row>
        <row r="32">
          <cell r="B32" t="str">
            <v>WIDENING AND STRENGTHENING OF MUKTAPUR-WARISNAGAR-BHADOGHAT-HATHAURI ROAD IN KM 00 TO 23.300 (TOTAL LENGTH - 23.30 KM) FOR THE YEAR 2019-20</v>
          </cell>
        </row>
        <row r="34">
          <cell r="B34" t="str">
            <v>Piling, Civil &amp; Structural and Underground Piping Work for new Process units such as NHT, CCR, NAPTHA SPLITTER, BENSAT and MS BLENDING UNITS OF BS-IV PROJECT at Barauni Refinery (Tender No. TP/069107C001/T/BS-IV/16)</v>
          </cell>
        </row>
        <row r="35">
          <cell r="B35" t="str">
            <v>Civil Works including Building and U.G.Piping Works for HURL Project, Barauni. SUBCONTRACT FROM TECHNIP INDIA LIMITED</v>
          </cell>
        </row>
        <row r="36">
          <cell r="B36" t="str">
            <v>Subcontract for Piling Works of DHDT Unit at IOCL BARAUNI</v>
          </cell>
        </row>
        <row r="37">
          <cell r="B37" t="str">
            <v>Subcontract for Piling Work for NHT-ll + ISOM-ll Unit at IOCL, Barauni, Bihar</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ALIFICATION INFORMATION"/>
      <sheetName val="EPC"/>
      <sheetName val="CHECKLIST"/>
      <sheetName val="BLPL QTY 04072025"/>
      <sheetName val="CONST PROGRAM"/>
      <sheetName val="Main Menu"/>
      <sheetName val="BOQ FCDJHANJHARPUR"/>
      <sheetName val="BOQ-CHAKIA"/>
      <sheetName val="BOQ-MOKAMA"/>
      <sheetName val="CALC MOKAMA"/>
      <sheetName val="analysis"/>
      <sheetName val="BASIC INPUT"/>
      <sheetName val="Input"/>
      <sheetName val="Calc. of Rate per Hr. "/>
      <sheetName val="Cost of Misc. Machinery"/>
      <sheetName val="agg input"/>
      <sheetName val="AGG BY RAIL"/>
      <sheetName val="RAILWAY FR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EPCM-23"/>
      <sheetName val="OHCU "/>
      <sheetName val="DHDT"/>
      <sheetName val="HGU"/>
      <sheetName val="APT status "/>
      <sheetName val="Sheet7"/>
    </sheetNames>
    <sheetDataSet>
      <sheetData sheetId="0" refreshError="1"/>
      <sheetData sheetId="1">
        <row r="9">
          <cell r="E9">
            <v>45640</v>
          </cell>
        </row>
        <row r="15">
          <cell r="K15">
            <v>112688</v>
          </cell>
        </row>
        <row r="25">
          <cell r="E25">
            <v>111128</v>
          </cell>
        </row>
      </sheetData>
      <sheetData sheetId="2">
        <row r="12">
          <cell r="E12">
            <v>159120</v>
          </cell>
        </row>
        <row r="15">
          <cell r="K15">
            <v>539400</v>
          </cell>
        </row>
        <row r="31">
          <cell r="E31">
            <v>443960</v>
          </cell>
        </row>
      </sheetData>
      <sheetData sheetId="3">
        <row r="4">
          <cell r="F4">
            <v>3830</v>
          </cell>
        </row>
        <row r="5">
          <cell r="F5">
            <v>11680</v>
          </cell>
        </row>
        <row r="6">
          <cell r="F6">
            <v>13530</v>
          </cell>
        </row>
        <row r="7">
          <cell r="F7">
            <v>22590</v>
          </cell>
        </row>
        <row r="8">
          <cell r="F8">
            <v>18370</v>
          </cell>
        </row>
        <row r="9">
          <cell r="F9">
            <v>18150</v>
          </cell>
        </row>
        <row r="10">
          <cell r="F10">
            <v>8990</v>
          </cell>
        </row>
        <row r="11">
          <cell r="F11">
            <v>9930</v>
          </cell>
        </row>
        <row r="12">
          <cell r="F12">
            <v>29960</v>
          </cell>
        </row>
        <row r="13">
          <cell r="F13">
            <v>17360</v>
          </cell>
        </row>
        <row r="14">
          <cell r="F14">
            <v>20544</v>
          </cell>
        </row>
        <row r="15">
          <cell r="F15">
            <v>32814</v>
          </cell>
        </row>
        <row r="16">
          <cell r="F16">
            <v>29142</v>
          </cell>
        </row>
        <row r="17">
          <cell r="F17">
            <v>24432</v>
          </cell>
        </row>
        <row r="18">
          <cell r="F18">
            <v>32508</v>
          </cell>
        </row>
        <row r="19">
          <cell r="F19">
            <v>47064</v>
          </cell>
        </row>
        <row r="20">
          <cell r="F20">
            <v>47376</v>
          </cell>
        </row>
        <row r="21">
          <cell r="F21">
            <v>42654</v>
          </cell>
        </row>
        <row r="22">
          <cell r="F22">
            <v>39882</v>
          </cell>
        </row>
        <row r="23">
          <cell r="F23">
            <v>35484</v>
          </cell>
        </row>
        <row r="24">
          <cell r="F24">
            <v>36600</v>
          </cell>
        </row>
        <row r="25">
          <cell r="F25">
            <v>36024</v>
          </cell>
        </row>
        <row r="26">
          <cell r="F26">
            <v>24762</v>
          </cell>
        </row>
        <row r="27">
          <cell r="F27">
            <v>20220</v>
          </cell>
        </row>
        <row r="28">
          <cell r="F28">
            <v>20178</v>
          </cell>
        </row>
        <row r="29">
          <cell r="F29">
            <v>21636</v>
          </cell>
        </row>
        <row r="30">
          <cell r="F30">
            <v>18234</v>
          </cell>
        </row>
        <row r="31">
          <cell r="F31">
            <v>20952</v>
          </cell>
        </row>
        <row r="32">
          <cell r="F32">
            <v>21324</v>
          </cell>
        </row>
        <row r="33">
          <cell r="F33">
            <v>22458</v>
          </cell>
        </row>
      </sheetData>
      <sheetData sheetId="4" refreshError="1"/>
      <sheetData sheetId="5" refreshError="1"/>
      <sheetData sheetId="6">
        <row r="7">
          <cell r="B7">
            <v>150760</v>
          </cell>
          <cell r="C7">
            <v>125340</v>
          </cell>
        </row>
      </sheetData>
    </sheetDataSet>
  </externalBook>
</externalLink>
</file>

<file path=xl/persons/person.xml><?xml version="1.0" encoding="utf-8"?>
<personList xmlns="http://schemas.microsoft.com/office/spreadsheetml/2018/threadedcomments" xmlns:x="http://schemas.openxmlformats.org/spreadsheetml/2006/main">
  <person displayName="Amit Kumar" id="{1E0B5BC5-E23E-42D5-A023-2766733A9C10}" userId="e0215aaf03292a80"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11" dT="2021-05-30T13:14:02.25" personId="{1E0B5BC5-E23E-42D5-A023-2766733A9C10}" id="{AA0A5579-A197-4DC1-8252-D05E4D996630}">
    <text>PAVER BLOCK</text>
  </threadedComment>
  <threadedComment ref="J25" dT="2021-05-30T13:14:02.25" personId="{1E0B5BC5-E23E-42D5-A023-2766733A9C10}" id="{40645590-F5CA-452C-A6BD-FEC080DA72B5}">
    <text>PAVER BLOCK</text>
  </threadedComment>
  <threadedComment ref="J40" dT="2021-05-30T13:14:02.25" personId="{1E0B5BC5-E23E-42D5-A023-2766733A9C10}" id="{35ECF531-6AA7-4833-995F-57B7AF5A12A8}">
    <text>PAVER BLOCK</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8" Type="http://schemas.openxmlformats.org/officeDocument/2006/relationships/hyperlink" Target="file:///C:\Users\amitj\AppData\Local\Packages\5319275A.WhatsAppDesktop_cv1g1gvanyjgm\LocalState\sessions\20888379CB57B912B34611388CF242C284BFF590\transfers\AppData\Local\Microsoft\Windows\INetCache\IE\OX291791\WRD%20MOTIPUR%20WORK%20DONE%20CERTIFICATE%2019052025.pdf" TargetMode="External"/><Relationship Id="rId13" Type="http://schemas.openxmlformats.org/officeDocument/2006/relationships/comments" Target="../comments1.xml"/><Relationship Id="rId3" Type="http://schemas.openxmlformats.org/officeDocument/2006/relationships/hyperlink" Target="file:///C:\Users\amitj\AppData\Local\Packages\5319275A.WhatsAppDesktop_cv1g1gvanyjgm\LocalState\sessions\20888379CB57B912B34611388CF242C284BFF590\transfers\AppData\Local\Microsoft\Windows\INetCache\IE\OX291791\INBR%20EXP%20CERTIFICAT%20QTY%2012032025.pdf" TargetMode="External"/><Relationship Id="rId7" Type="http://schemas.openxmlformats.org/officeDocument/2006/relationships/hyperlink" Target="file:///C:\Users\amitj\AppData\Local\Packages\5319275A.WhatsAppDesktop_cv1g1gvanyjgm\LocalState\sessions\20888379CB57B912B34611388CF242C284BFF590\transfers\AppData\Local\Microsoft\Windows\INetCache\IE\OX291791\lt%20no%20656%20dt%2003.06.25%20Performance%20cert.pdf" TargetMode="External"/><Relationship Id="rId12" Type="http://schemas.openxmlformats.org/officeDocument/2006/relationships/vmlDrawing" Target="../drawings/vmlDrawing1.vml"/><Relationship Id="rId2" Type="http://schemas.openxmlformats.org/officeDocument/2006/relationships/hyperlink" Target="file://C:\Users\amitj\AppData\Local\Packages\5319275A.WhatsAppDesktop_cv1g1gvanyjgm\LocalState\sessions\20888379CB57B912B34611388CF242C284BFF590\transfers\AppData\Local\Microsoft\Windows\INetCache\IE\OX291791\SMC%20EXPERIENCE%20CERTIFICATE%2020052025%20CamScanner%2005-20-2025%2014.29.pdf" TargetMode="External"/><Relationship Id="rId1" Type="http://schemas.openxmlformats.org/officeDocument/2006/relationships/hyperlink" Target="file:///C:\Users\amitj\AppData\Local\Packages\5319275A.WhatsAppDesktop_cv1g1gvanyjgm\LocalState\sessions\20888379CB57B912B34611388CF242C284BFF590\transfers\AppData\Local\Microsoft\Windows\INetCache\IE\OX291791\WRD%20MOTIPUR%20WORK%20DONE%20CERTIFICATE%2019052025.pdf" TargetMode="External"/><Relationship Id="rId6" Type="http://schemas.openxmlformats.org/officeDocument/2006/relationships/hyperlink" Target="file:///C:\Users\amitj\AppData\Local\Packages\5319275A.WhatsAppDesktop_cv1g1gvanyjgm\LocalState\sessions\20888379CB57B912B34611388CF242C284BFF590\transfers\AppData\Local\Microsoft\Windows\INetCache\IE\OX291791\INBR%20EXP%20CERTIFICAT%20QTY%2012032025.pdf" TargetMode="External"/><Relationship Id="rId11" Type="http://schemas.openxmlformats.org/officeDocument/2006/relationships/printerSettings" Target="../printerSettings/printerSettings2.bin"/><Relationship Id="rId5" Type="http://schemas.openxmlformats.org/officeDocument/2006/relationships/hyperlink" Target="file:///C:\Users\amitj\AppData\Local\Packages\5319275A.WhatsAppDesktop_cv1g1gvanyjgm\LocalState\sessions\20888379CB57B912B34611388CF242C284BFF590\transfers\AppData\Local\Microsoft\Windows\INetCache\IE\OX291791\INBR%20EXP%20CERTIFICAT%20QTY%2012032025.pdf" TargetMode="External"/><Relationship Id="rId10" Type="http://schemas.openxmlformats.org/officeDocument/2006/relationships/hyperlink" Target="file:///C:\Users\amitj\AppData\Local\Packages\5319275A.WhatsAppDesktop_cv1g1gvanyjgm\LocalState\sessions\20888379CB57B912B34611388CF242C284BFF590\transfers\AppData\Local\Microsoft\Windows\INetCache\IE\OX291791\WRD%20MOTIPUR%20WORK%20DONE%20CERTIFICATE%2019052025.pdf" TargetMode="External"/><Relationship Id="rId4" Type="http://schemas.openxmlformats.org/officeDocument/2006/relationships/hyperlink" Target="file:///C:\Users\amitj\AppData\Local\Packages\5319275A.WhatsAppDesktop_cv1g1gvanyjgm\LocalState\sessions\20888379CB57B912B34611388CF242C284BFF590\transfers\AppData\Local\Microsoft\Windows\INetCache\IE\OX291791\INBR%20EXP%20CERTIFICAT%20QTY%2012032025.pdf" TargetMode="External"/><Relationship Id="rId9" Type="http://schemas.openxmlformats.org/officeDocument/2006/relationships/hyperlink" Target="file:///C:\Users\amitj\AppData\Local\Packages\5319275A.WhatsAppDesktop_cv1g1gvanyjgm\LocalState\sessions\20888379CB57B912B34611388CF242C284BFF590\transfers\AppData\Local\Microsoft\Windows\INetCache\IE\OX291791\lt%20no%20656%20dt%2003.06.25%20Performance%20cert.pdf" TargetMode="External"/><Relationship Id="rId1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8C1B1-A1CE-4981-939D-698D4B7C370C}">
  <sheetPr>
    <tabColor rgb="FF92D050"/>
    <pageSetUpPr fitToPage="1"/>
  </sheetPr>
  <dimension ref="A1:V95"/>
  <sheetViews>
    <sheetView topLeftCell="A34" zoomScale="60" zoomScaleNormal="60" zoomScaleSheetLayoutView="85" workbookViewId="0">
      <selection activeCell="G37" sqref="G37"/>
    </sheetView>
  </sheetViews>
  <sheetFormatPr defaultRowHeight="14.35" outlineLevelRow="1" x14ac:dyDescent="0.5"/>
  <cols>
    <col min="2" max="2" width="31.52734375" customWidth="1"/>
    <col min="3" max="3" width="11.3515625" customWidth="1"/>
    <col min="4" max="5" width="10.41015625" customWidth="1"/>
    <col min="6" max="6" width="12.1171875" customWidth="1"/>
    <col min="7" max="7" width="10.41015625" customWidth="1"/>
    <col min="8" max="8" width="17.41015625" customWidth="1"/>
    <col min="9" max="9" width="12.52734375" customWidth="1"/>
    <col min="10" max="10" width="14.52734375" customWidth="1"/>
    <col min="11" max="11" width="20" customWidth="1"/>
    <col min="12" max="12" width="10.1171875" bestFit="1" customWidth="1"/>
    <col min="13" max="13" width="12" customWidth="1"/>
    <col min="14" max="14" width="17" customWidth="1"/>
    <col min="15" max="15" width="10.41015625" bestFit="1" customWidth="1"/>
    <col min="18" max="18" width="8.9375" style="11"/>
    <col min="19" max="19" width="28.64453125" bestFit="1" customWidth="1"/>
    <col min="22" max="22" width="11.1171875" bestFit="1" customWidth="1"/>
  </cols>
  <sheetData>
    <row r="1" spans="1:15" x14ac:dyDescent="0.5">
      <c r="A1" s="180" t="s">
        <v>0</v>
      </c>
      <c r="B1" s="180"/>
      <c r="C1" s="180"/>
      <c r="D1" s="180"/>
      <c r="E1" s="180"/>
      <c r="F1" s="180"/>
      <c r="G1" s="180"/>
      <c r="H1" s="180"/>
      <c r="I1" s="180"/>
      <c r="J1" s="180"/>
      <c r="K1" s="180"/>
      <c r="L1" s="1"/>
    </row>
    <row r="2" spans="1:15" x14ac:dyDescent="0.5">
      <c r="A2" s="1">
        <v>1</v>
      </c>
      <c r="B2" s="2" t="s">
        <v>1</v>
      </c>
      <c r="C2" s="1"/>
      <c r="D2" s="2" t="s">
        <v>2</v>
      </c>
      <c r="E2" s="1"/>
      <c r="F2" s="1"/>
      <c r="G2" s="1"/>
      <c r="H2" s="1"/>
      <c r="I2" s="1"/>
      <c r="J2" s="1"/>
      <c r="K2" s="1"/>
      <c r="L2" s="1"/>
    </row>
    <row r="3" spans="1:15" ht="59.1" customHeight="1" outlineLevel="1" x14ac:dyDescent="0.5">
      <c r="A3" s="1"/>
      <c r="B3" s="1" t="s">
        <v>3</v>
      </c>
      <c r="C3" s="1"/>
      <c r="D3" s="181" t="s">
        <v>4</v>
      </c>
      <c r="E3" s="182"/>
      <c r="F3" s="182"/>
      <c r="G3" s="182"/>
      <c r="H3" s="182"/>
      <c r="I3" s="182"/>
      <c r="J3" s="182"/>
      <c r="K3" s="183"/>
      <c r="L3" s="3"/>
    </row>
    <row r="4" spans="1:15" ht="15.95" customHeight="1" outlineLevel="1" x14ac:dyDescent="0.5">
      <c r="A4" s="1">
        <v>1.1000000000000001</v>
      </c>
      <c r="B4" s="1" t="s">
        <v>5</v>
      </c>
      <c r="C4" s="3"/>
      <c r="D4" s="4" t="s">
        <v>6</v>
      </c>
      <c r="E4" s="1"/>
      <c r="F4" s="1"/>
      <c r="G4" s="1"/>
      <c r="H4" s="1"/>
      <c r="I4" s="1"/>
      <c r="J4" s="1"/>
      <c r="K4" s="1"/>
      <c r="L4" s="1"/>
    </row>
    <row r="5" spans="1:15" outlineLevel="1" x14ac:dyDescent="0.5">
      <c r="A5" s="1"/>
      <c r="B5" s="1" t="s">
        <v>7</v>
      </c>
      <c r="C5" s="1"/>
      <c r="D5" s="1"/>
      <c r="E5" s="1"/>
      <c r="F5" s="1"/>
      <c r="G5" s="1"/>
      <c r="H5" s="1"/>
      <c r="I5" s="1"/>
      <c r="J5" s="1"/>
      <c r="K5" s="1"/>
      <c r="L5" s="1"/>
    </row>
    <row r="6" spans="1:15" outlineLevel="1" x14ac:dyDescent="0.5">
      <c r="A6" s="1"/>
      <c r="B6" s="1" t="s">
        <v>8</v>
      </c>
      <c r="C6" s="1"/>
      <c r="D6" s="1" t="s">
        <v>9</v>
      </c>
      <c r="E6" s="1"/>
      <c r="F6" s="1"/>
      <c r="G6" s="1"/>
      <c r="H6" s="1"/>
      <c r="I6" s="1"/>
      <c r="J6" s="1"/>
      <c r="K6" s="1"/>
      <c r="L6" s="1"/>
    </row>
    <row r="7" spans="1:15" outlineLevel="1" x14ac:dyDescent="0.5">
      <c r="A7" s="1"/>
      <c r="B7" s="1" t="s">
        <v>10</v>
      </c>
      <c r="C7" s="1"/>
      <c r="D7" s="1" t="s">
        <v>11</v>
      </c>
      <c r="E7" s="1"/>
      <c r="F7" s="1"/>
      <c r="G7" s="1"/>
      <c r="H7" s="1"/>
      <c r="I7" s="1"/>
      <c r="J7" s="1"/>
      <c r="K7" s="1"/>
      <c r="L7" s="1"/>
    </row>
    <row r="8" spans="1:15" ht="28.7" outlineLevel="1" x14ac:dyDescent="0.5">
      <c r="A8" s="1"/>
      <c r="B8" s="3" t="s">
        <v>12</v>
      </c>
      <c r="C8" s="1"/>
      <c r="D8" s="1" t="s">
        <v>13</v>
      </c>
      <c r="E8" s="1"/>
      <c r="F8" s="1"/>
      <c r="G8" s="1"/>
      <c r="H8" s="1"/>
      <c r="I8" s="1"/>
      <c r="J8" s="1"/>
      <c r="K8" s="1"/>
      <c r="L8" s="1"/>
    </row>
    <row r="9" spans="1:15" outlineLevel="1" x14ac:dyDescent="0.5">
      <c r="A9" s="1"/>
      <c r="B9" s="1" t="s">
        <v>14</v>
      </c>
      <c r="C9" s="1"/>
      <c r="D9" s="1" t="s">
        <v>15</v>
      </c>
      <c r="E9" s="1"/>
      <c r="F9" s="1"/>
      <c r="G9" s="1"/>
      <c r="H9" s="1"/>
      <c r="I9" s="1"/>
      <c r="J9" s="1"/>
      <c r="K9" s="1"/>
      <c r="L9" s="1"/>
    </row>
    <row r="10" spans="1:15" ht="69" customHeight="1" outlineLevel="1" x14ac:dyDescent="0.5">
      <c r="A10" s="2">
        <v>1.2</v>
      </c>
      <c r="B10" s="184" t="s">
        <v>16</v>
      </c>
      <c r="C10" s="184"/>
      <c r="D10" s="184"/>
      <c r="E10" s="184"/>
      <c r="F10" s="5" t="s">
        <v>17</v>
      </c>
      <c r="G10" s="2"/>
      <c r="H10" s="5" t="s">
        <v>18</v>
      </c>
      <c r="I10" s="6" t="s">
        <v>19</v>
      </c>
      <c r="J10" s="5" t="s">
        <v>20</v>
      </c>
      <c r="K10" s="5" t="s">
        <v>21</v>
      </c>
      <c r="L10" s="1"/>
      <c r="N10" s="7"/>
      <c r="O10" s="7"/>
    </row>
    <row r="11" spans="1:15" outlineLevel="1" x14ac:dyDescent="0.5">
      <c r="A11" s="1"/>
      <c r="B11" s="1" t="s">
        <v>22</v>
      </c>
      <c r="C11" s="1"/>
      <c r="D11" s="1"/>
      <c r="E11" s="1"/>
      <c r="F11" s="8"/>
      <c r="G11" s="1"/>
      <c r="H11" s="9"/>
      <c r="I11" s="71"/>
      <c r="J11" s="1"/>
      <c r="K11" s="1"/>
      <c r="L11" s="1"/>
    </row>
    <row r="12" spans="1:15" s="11" customFormat="1" outlineLevel="1" x14ac:dyDescent="0.5">
      <c r="A12" s="31"/>
      <c r="B12" s="31"/>
      <c r="C12" s="31"/>
      <c r="D12" s="31"/>
      <c r="E12" s="31"/>
      <c r="F12" s="159" t="s">
        <v>23</v>
      </c>
      <c r="G12" s="31"/>
      <c r="H12" s="160">
        <v>19573.254000000001</v>
      </c>
      <c r="I12" s="161" t="s">
        <v>290</v>
      </c>
      <c r="J12" s="162">
        <v>1.2</v>
      </c>
      <c r="K12" s="160">
        <f>ROUND(H12*J12,6)</f>
        <v>23487.9048</v>
      </c>
      <c r="L12" s="31"/>
      <c r="N12"/>
    </row>
    <row r="13" spans="1:15" s="11" customFormat="1" outlineLevel="1" x14ac:dyDescent="0.5">
      <c r="A13" s="4"/>
      <c r="B13" s="4"/>
      <c r="C13" s="4"/>
      <c r="D13" s="4"/>
      <c r="E13" s="4"/>
      <c r="F13" s="10" t="s">
        <v>24</v>
      </c>
      <c r="G13" s="4"/>
      <c r="H13" s="88">
        <v>16255.123</v>
      </c>
      <c r="I13" s="71" t="s">
        <v>290</v>
      </c>
      <c r="J13" s="1">
        <v>1.2</v>
      </c>
      <c r="K13" s="88">
        <f t="shared" ref="K13:K14" si="0">ROUND(H13*J13,6)</f>
        <v>19506.1476</v>
      </c>
      <c r="L13" s="4"/>
      <c r="N13"/>
    </row>
    <row r="14" spans="1:15" s="11" customFormat="1" outlineLevel="1" x14ac:dyDescent="0.5">
      <c r="A14" s="4"/>
      <c r="B14" s="4"/>
      <c r="C14" s="4"/>
      <c r="D14" s="4"/>
      <c r="E14" s="4"/>
      <c r="F14" s="10" t="s">
        <v>25</v>
      </c>
      <c r="G14" s="4"/>
      <c r="H14" s="88">
        <v>19459</v>
      </c>
      <c r="I14" s="71" t="s">
        <v>290</v>
      </c>
      <c r="J14" s="1">
        <v>1.1499999999999999</v>
      </c>
      <c r="K14" s="88">
        <f t="shared" si="0"/>
        <v>22377.85</v>
      </c>
      <c r="L14" s="4"/>
      <c r="N14"/>
    </row>
    <row r="15" spans="1:15" s="11" customFormat="1" outlineLevel="1" x14ac:dyDescent="0.5">
      <c r="A15" s="4"/>
      <c r="B15" s="4"/>
      <c r="C15" s="4"/>
      <c r="D15" s="4"/>
      <c r="E15" s="4"/>
      <c r="F15" s="10" t="s">
        <v>26</v>
      </c>
      <c r="G15" s="4"/>
      <c r="H15" s="88">
        <v>21976</v>
      </c>
      <c r="I15" s="71" t="s">
        <v>290</v>
      </c>
      <c r="J15" s="1">
        <v>1.1000000000000001</v>
      </c>
      <c r="K15" s="88">
        <f>ROUND(H15*J15,6)</f>
        <v>24173.599999999999</v>
      </c>
      <c r="L15" s="4"/>
      <c r="N15"/>
    </row>
    <row r="16" spans="1:15" s="11" customFormat="1" outlineLevel="1" x14ac:dyDescent="0.5">
      <c r="A16" s="4"/>
      <c r="B16" s="4"/>
      <c r="C16" s="4"/>
      <c r="D16" s="4"/>
      <c r="E16" s="4"/>
      <c r="F16" s="10" t="s">
        <v>27</v>
      </c>
      <c r="G16" s="4"/>
      <c r="H16" s="88">
        <v>22147</v>
      </c>
      <c r="I16" s="71" t="s">
        <v>290</v>
      </c>
      <c r="J16" s="4">
        <v>1.05</v>
      </c>
      <c r="K16" s="88">
        <f>ROUND(H16*J16,6)</f>
        <v>23254.35</v>
      </c>
      <c r="L16" s="4"/>
      <c r="N16"/>
    </row>
    <row r="17" spans="1:19" s="11" customFormat="1" outlineLevel="1" x14ac:dyDescent="0.5">
      <c r="A17" s="4"/>
      <c r="B17" s="4"/>
      <c r="C17" s="4"/>
      <c r="D17" s="4"/>
      <c r="E17" s="4"/>
      <c r="F17" s="10" t="s">
        <v>289</v>
      </c>
      <c r="G17" s="4"/>
      <c r="H17" s="88">
        <v>30907.080010000001</v>
      </c>
      <c r="I17" s="71" t="s">
        <v>290</v>
      </c>
      <c r="J17" s="4">
        <v>1</v>
      </c>
      <c r="K17" s="88">
        <f>ROUND(H17*J17,6)</f>
        <v>30907.080010000001</v>
      </c>
      <c r="L17" s="4"/>
      <c r="N17"/>
    </row>
    <row r="18" spans="1:19" ht="35.1" customHeight="1" outlineLevel="1" x14ac:dyDescent="0.5">
      <c r="A18" s="1"/>
      <c r="B18" s="1"/>
      <c r="C18" s="1"/>
      <c r="D18" s="1"/>
      <c r="E18" s="1"/>
      <c r="F18" s="185" t="s">
        <v>28</v>
      </c>
      <c r="G18" s="185"/>
      <c r="H18" s="89">
        <f>SUM(H13:H17)</f>
        <v>110744.20301</v>
      </c>
      <c r="I18" s="12"/>
      <c r="J18" s="1"/>
      <c r="K18" s="89">
        <f>SUM(K13:K17)</f>
        <v>120219.02761000002</v>
      </c>
      <c r="L18" s="1"/>
      <c r="N18" s="7"/>
      <c r="O18" s="7"/>
    </row>
    <row r="19" spans="1:19" ht="29.25" customHeight="1" outlineLevel="1" x14ac:dyDescent="0.5">
      <c r="A19" s="1"/>
      <c r="B19" s="1"/>
      <c r="C19" s="1"/>
      <c r="D19" s="1"/>
      <c r="E19" s="1"/>
      <c r="F19" s="185" t="s">
        <v>29</v>
      </c>
      <c r="G19" s="185"/>
      <c r="H19" s="90">
        <f>H18/5</f>
        <v>22148.840602</v>
      </c>
      <c r="I19" s="1"/>
      <c r="J19" s="1"/>
      <c r="K19" s="89">
        <f>K18/5</f>
        <v>24043.805522000002</v>
      </c>
      <c r="L19" s="1"/>
    </row>
    <row r="20" spans="1:19" x14ac:dyDescent="0.5">
      <c r="G20" s="13"/>
    </row>
    <row r="21" spans="1:19" ht="51" customHeight="1" x14ac:dyDescent="0.5">
      <c r="A21" s="14" t="s">
        <v>30</v>
      </c>
      <c r="B21" s="186" t="s">
        <v>31</v>
      </c>
      <c r="C21" s="186"/>
      <c r="D21" s="186"/>
      <c r="E21" s="186"/>
      <c r="F21" s="186"/>
      <c r="G21" s="186"/>
      <c r="H21" s="186"/>
      <c r="I21" s="186"/>
      <c r="J21" s="186"/>
      <c r="K21" s="186"/>
    </row>
    <row r="22" spans="1:19" s="17" customFormat="1" ht="96" customHeight="1" outlineLevel="1" x14ac:dyDescent="0.5">
      <c r="A22" s="5" t="s">
        <v>32</v>
      </c>
      <c r="B22" s="5" t="s">
        <v>33</v>
      </c>
      <c r="C22" s="5" t="s">
        <v>34</v>
      </c>
      <c r="D22" s="187" t="s">
        <v>35</v>
      </c>
      <c r="E22" s="187"/>
      <c r="F22" s="5" t="s">
        <v>36</v>
      </c>
      <c r="G22" s="5" t="s">
        <v>37</v>
      </c>
      <c r="H22" s="5" t="s">
        <v>38</v>
      </c>
      <c r="I22" s="5" t="s">
        <v>39</v>
      </c>
      <c r="J22" s="5" t="s">
        <v>40</v>
      </c>
      <c r="K22" s="15" t="s">
        <v>41</v>
      </c>
      <c r="L22" s="16" t="s">
        <v>42</v>
      </c>
      <c r="M22" s="16" t="s">
        <v>43</v>
      </c>
      <c r="N22" s="16" t="s">
        <v>44</v>
      </c>
    </row>
    <row r="23" spans="1:19" ht="114.7" outlineLevel="1" x14ac:dyDescent="0.5">
      <c r="A23" s="123">
        <v>1</v>
      </c>
      <c r="B23" s="124" t="s">
        <v>45</v>
      </c>
      <c r="C23" s="125" t="s">
        <v>46</v>
      </c>
      <c r="D23" s="188" t="s">
        <v>47</v>
      </c>
      <c r="E23" s="188"/>
      <c r="F23" s="125" t="s">
        <v>48</v>
      </c>
      <c r="G23" s="123">
        <f>ROUND(59.6120577+5.4254429,2)</f>
        <v>65.040000000000006</v>
      </c>
      <c r="H23" s="123" t="s">
        <v>49</v>
      </c>
      <c r="I23" s="125" t="s">
        <v>50</v>
      </c>
      <c r="J23" s="125" t="s">
        <v>51</v>
      </c>
      <c r="K23" s="125" t="s">
        <v>52</v>
      </c>
      <c r="L23" s="123" t="s">
        <v>53</v>
      </c>
      <c r="M23" s="123">
        <v>1.2</v>
      </c>
      <c r="N23" s="126">
        <f t="shared" ref="N23:N24" si="1">ROUND(G23*M23,4)</f>
        <v>78.048000000000002</v>
      </c>
    </row>
    <row r="24" spans="1:19" ht="97.85" customHeight="1" outlineLevel="1" x14ac:dyDescent="0.5">
      <c r="A24" s="123">
        <v>2</v>
      </c>
      <c r="B24" s="124" t="s">
        <v>54</v>
      </c>
      <c r="C24" s="125" t="s">
        <v>55</v>
      </c>
      <c r="D24" s="188" t="s">
        <v>56</v>
      </c>
      <c r="E24" s="188"/>
      <c r="F24" s="125" t="s">
        <v>57</v>
      </c>
      <c r="G24" s="123">
        <v>46.579599999999999</v>
      </c>
      <c r="H24" s="123" t="s">
        <v>58</v>
      </c>
      <c r="I24" s="125" t="s">
        <v>59</v>
      </c>
      <c r="J24" s="125" t="s">
        <v>60</v>
      </c>
      <c r="K24" s="125" t="s">
        <v>61</v>
      </c>
      <c r="L24" s="123" t="s">
        <v>62</v>
      </c>
      <c r="M24" s="123">
        <v>1.2</v>
      </c>
      <c r="N24" s="126">
        <f t="shared" si="1"/>
        <v>55.895499999999998</v>
      </c>
    </row>
    <row r="25" spans="1:19" ht="86" outlineLevel="1" x14ac:dyDescent="0.5">
      <c r="A25" s="123">
        <v>3</v>
      </c>
      <c r="B25" s="124" t="s">
        <v>63</v>
      </c>
      <c r="C25" s="125" t="s">
        <v>55</v>
      </c>
      <c r="D25" s="188" t="s">
        <v>56</v>
      </c>
      <c r="E25" s="188"/>
      <c r="F25" s="125" t="s">
        <v>64</v>
      </c>
      <c r="G25" s="123">
        <v>54.66</v>
      </c>
      <c r="H25" s="123" t="s">
        <v>65</v>
      </c>
      <c r="I25" s="125" t="s">
        <v>59</v>
      </c>
      <c r="J25" s="125" t="s">
        <v>66</v>
      </c>
      <c r="K25" s="125" t="s">
        <v>67</v>
      </c>
      <c r="L25" s="123" t="s">
        <v>68</v>
      </c>
      <c r="M25" s="123">
        <v>1.2</v>
      </c>
      <c r="N25" s="126">
        <f>ROUND(G25*M25,4)</f>
        <v>65.591999999999999</v>
      </c>
    </row>
    <row r="26" spans="1:19" ht="129" outlineLevel="1" x14ac:dyDescent="0.5">
      <c r="A26" s="69">
        <v>4</v>
      </c>
      <c r="B26" s="127" t="s">
        <v>69</v>
      </c>
      <c r="C26" s="127" t="s">
        <v>70</v>
      </c>
      <c r="D26" s="179" t="s">
        <v>71</v>
      </c>
      <c r="E26" s="179"/>
      <c r="F26" s="43" t="s">
        <v>72</v>
      </c>
      <c r="G26" s="69">
        <f>230.08</f>
        <v>230.08</v>
      </c>
      <c r="H26" s="69" t="s">
        <v>73</v>
      </c>
      <c r="I26" s="43" t="s">
        <v>74</v>
      </c>
      <c r="J26" s="43" t="s">
        <v>75</v>
      </c>
      <c r="K26" s="43" t="s">
        <v>76</v>
      </c>
      <c r="L26" s="69" t="s">
        <v>68</v>
      </c>
      <c r="M26" s="69">
        <v>1.2</v>
      </c>
      <c r="N26" s="101">
        <f>ROUND(G26*M26,4)</f>
        <v>276.096</v>
      </c>
    </row>
    <row r="27" spans="1:19" ht="86" x14ac:dyDescent="0.5">
      <c r="A27" s="69">
        <v>5</v>
      </c>
      <c r="B27" s="100" t="s">
        <v>183</v>
      </c>
      <c r="C27" s="43" t="s">
        <v>184</v>
      </c>
      <c r="D27" s="179" t="s">
        <v>71</v>
      </c>
      <c r="E27" s="179"/>
      <c r="F27" s="43" t="s">
        <v>185</v>
      </c>
      <c r="G27" s="45">
        <f>69.4772+48.4676</f>
        <v>117.94479999999999</v>
      </c>
      <c r="H27" s="43" t="s">
        <v>185</v>
      </c>
      <c r="I27" s="43" t="s">
        <v>291</v>
      </c>
      <c r="J27" s="45" t="s">
        <v>292</v>
      </c>
      <c r="K27" s="94" t="s">
        <v>293</v>
      </c>
      <c r="L27" s="95" t="s">
        <v>53</v>
      </c>
      <c r="M27" s="96">
        <v>1.2</v>
      </c>
      <c r="N27" s="101">
        <f>ROUND(G27*M27,4)</f>
        <v>141.53380000000001</v>
      </c>
      <c r="O27" s="72"/>
      <c r="P27" s="73"/>
      <c r="Q27" s="74"/>
      <c r="R27" s="75"/>
      <c r="S27" s="11"/>
    </row>
    <row r="28" spans="1:19" ht="57.35" outlineLevel="1" x14ac:dyDescent="0.5">
      <c r="A28" s="107">
        <v>6</v>
      </c>
      <c r="B28" s="116" t="s">
        <v>77</v>
      </c>
      <c r="C28" s="109" t="s">
        <v>78</v>
      </c>
      <c r="D28" s="191" t="s">
        <v>79</v>
      </c>
      <c r="E28" s="191"/>
      <c r="F28" s="109" t="s">
        <v>80</v>
      </c>
      <c r="G28" s="107">
        <v>18.905999999999999</v>
      </c>
      <c r="H28" s="107" t="s">
        <v>81</v>
      </c>
      <c r="I28" s="112" t="s">
        <v>82</v>
      </c>
      <c r="J28" s="109" t="s">
        <v>83</v>
      </c>
      <c r="K28" s="109"/>
      <c r="L28" s="107" t="s">
        <v>62</v>
      </c>
      <c r="M28" s="107">
        <v>1.2</v>
      </c>
      <c r="N28" s="115">
        <f t="shared" ref="N28:N41" si="2">ROUND(G28*M28,4)</f>
        <v>22.687200000000001</v>
      </c>
    </row>
    <row r="29" spans="1:19" ht="115.85" customHeight="1" outlineLevel="1" x14ac:dyDescent="0.5">
      <c r="A29" s="107">
        <v>7</v>
      </c>
      <c r="B29" s="116" t="s">
        <v>84</v>
      </c>
      <c r="C29" s="109" t="s">
        <v>85</v>
      </c>
      <c r="D29" s="192" t="s">
        <v>86</v>
      </c>
      <c r="E29" s="193"/>
      <c r="F29" s="109" t="s">
        <v>87</v>
      </c>
      <c r="G29" s="107">
        <v>10.5418</v>
      </c>
      <c r="H29" s="107" t="s">
        <v>88</v>
      </c>
      <c r="I29" s="112" t="s">
        <v>89</v>
      </c>
      <c r="J29" s="109" t="s">
        <v>90</v>
      </c>
      <c r="K29" s="109" t="s">
        <v>67</v>
      </c>
      <c r="L29" s="107" t="s">
        <v>91</v>
      </c>
      <c r="M29" s="107">
        <v>1.2</v>
      </c>
      <c r="N29" s="115">
        <f t="shared" si="2"/>
        <v>12.6502</v>
      </c>
    </row>
    <row r="30" spans="1:19" ht="115.85" customHeight="1" outlineLevel="1" x14ac:dyDescent="0.5">
      <c r="A30" s="107">
        <v>8</v>
      </c>
      <c r="B30" s="116" t="s">
        <v>92</v>
      </c>
      <c r="C30" s="109" t="s">
        <v>85</v>
      </c>
      <c r="D30" s="191" t="s">
        <v>93</v>
      </c>
      <c r="E30" s="191"/>
      <c r="F30" s="109" t="s">
        <v>94</v>
      </c>
      <c r="G30" s="117">
        <v>32.700000000000003</v>
      </c>
      <c r="H30" s="107" t="s">
        <v>95</v>
      </c>
      <c r="I30" s="112" t="s">
        <v>96</v>
      </c>
      <c r="J30" s="109" t="s">
        <v>97</v>
      </c>
      <c r="K30" s="112" t="s">
        <v>98</v>
      </c>
      <c r="L30" s="107" t="s">
        <v>99</v>
      </c>
      <c r="M30" s="107">
        <v>1.2</v>
      </c>
      <c r="N30" s="115">
        <f t="shared" si="2"/>
        <v>39.24</v>
      </c>
    </row>
    <row r="31" spans="1:19" ht="90.6" customHeight="1" x14ac:dyDescent="0.5">
      <c r="A31" s="107">
        <v>9</v>
      </c>
      <c r="B31" s="108" t="s">
        <v>100</v>
      </c>
      <c r="C31" s="109" t="s">
        <v>101</v>
      </c>
      <c r="D31" s="191" t="s">
        <v>93</v>
      </c>
      <c r="E31" s="191"/>
      <c r="F31" s="109" t="s">
        <v>102</v>
      </c>
      <c r="G31" s="110">
        <v>25.664387999999999</v>
      </c>
      <c r="H31" s="110" t="s">
        <v>103</v>
      </c>
      <c r="I31" s="118" t="s">
        <v>104</v>
      </c>
      <c r="J31" s="112" t="s">
        <v>105</v>
      </c>
      <c r="K31" s="109" t="s">
        <v>106</v>
      </c>
      <c r="L31" s="119" t="s">
        <v>91</v>
      </c>
      <c r="M31" s="113">
        <v>1.2</v>
      </c>
      <c r="N31" s="115">
        <f t="shared" si="2"/>
        <v>30.7973</v>
      </c>
      <c r="R31"/>
    </row>
    <row r="32" spans="1:19" ht="100.35" x14ac:dyDescent="0.5">
      <c r="A32" s="107">
        <v>10</v>
      </c>
      <c r="B32" s="108" t="s">
        <v>107</v>
      </c>
      <c r="C32" s="109" t="s">
        <v>108</v>
      </c>
      <c r="D32" s="191" t="s">
        <v>93</v>
      </c>
      <c r="E32" s="191"/>
      <c r="F32" s="109" t="s">
        <v>109</v>
      </c>
      <c r="G32" s="110">
        <v>39.884900000000002</v>
      </c>
      <c r="H32" s="110" t="s">
        <v>110</v>
      </c>
      <c r="I32" s="111" t="s">
        <v>111</v>
      </c>
      <c r="J32" s="112" t="s">
        <v>112</v>
      </c>
      <c r="K32" s="109" t="s">
        <v>106</v>
      </c>
      <c r="L32" s="113" t="s">
        <v>99</v>
      </c>
      <c r="M32" s="114">
        <v>1.2</v>
      </c>
      <c r="N32" s="115">
        <f t="shared" si="2"/>
        <v>47.861899999999999</v>
      </c>
      <c r="R32"/>
    </row>
    <row r="33" spans="1:19" ht="100.35" x14ac:dyDescent="0.5">
      <c r="A33" s="107">
        <v>11</v>
      </c>
      <c r="B33" s="108" t="s">
        <v>113</v>
      </c>
      <c r="C33" s="109" t="s">
        <v>78</v>
      </c>
      <c r="D33" s="191" t="s">
        <v>93</v>
      </c>
      <c r="E33" s="191"/>
      <c r="F33" s="109" t="s">
        <v>114</v>
      </c>
      <c r="G33" s="110">
        <v>11.025</v>
      </c>
      <c r="H33" s="110" t="s">
        <v>115</v>
      </c>
      <c r="I33" s="120"/>
      <c r="J33" s="121" t="s">
        <v>116</v>
      </c>
      <c r="K33" s="109" t="s">
        <v>99</v>
      </c>
      <c r="L33" s="113">
        <v>1.36</v>
      </c>
      <c r="M33" s="114">
        <v>1.2</v>
      </c>
      <c r="N33" s="115">
        <f t="shared" si="2"/>
        <v>13.23</v>
      </c>
      <c r="R33"/>
    </row>
    <row r="34" spans="1:19" ht="57.35" x14ac:dyDescent="0.5">
      <c r="A34" s="107">
        <v>12</v>
      </c>
      <c r="B34" s="108" t="s">
        <v>198</v>
      </c>
      <c r="C34" s="109" t="s">
        <v>199</v>
      </c>
      <c r="D34" s="191" t="s">
        <v>93</v>
      </c>
      <c r="E34" s="191"/>
      <c r="F34" s="109" t="s">
        <v>200</v>
      </c>
      <c r="G34" s="110">
        <v>18.2809554</v>
      </c>
      <c r="H34" s="122" t="s">
        <v>258</v>
      </c>
      <c r="I34" s="111" t="s">
        <v>259</v>
      </c>
      <c r="J34" s="112" t="s">
        <v>260</v>
      </c>
      <c r="K34" s="109" t="s">
        <v>99</v>
      </c>
      <c r="L34" s="113">
        <v>1.36</v>
      </c>
      <c r="M34" s="114">
        <v>1.2</v>
      </c>
      <c r="N34" s="115">
        <f t="shared" si="2"/>
        <v>21.937100000000001</v>
      </c>
      <c r="R34"/>
    </row>
    <row r="35" spans="1:19" ht="71.7" x14ac:dyDescent="0.5">
      <c r="A35" s="107">
        <v>13</v>
      </c>
      <c r="B35" s="108" t="s">
        <v>201</v>
      </c>
      <c r="C35" s="109" t="s">
        <v>199</v>
      </c>
      <c r="D35" s="191" t="s">
        <v>93</v>
      </c>
      <c r="E35" s="191"/>
      <c r="F35" s="109" t="s">
        <v>202</v>
      </c>
      <c r="G35" s="110">
        <v>35.066434700000002</v>
      </c>
      <c r="H35" s="110" t="s">
        <v>261</v>
      </c>
      <c r="I35" s="111" t="s">
        <v>262</v>
      </c>
      <c r="J35" s="112" t="s">
        <v>260</v>
      </c>
      <c r="K35" s="109" t="s">
        <v>99</v>
      </c>
      <c r="L35" s="113">
        <v>1.36</v>
      </c>
      <c r="M35" s="114">
        <v>1.2</v>
      </c>
      <c r="N35" s="115">
        <f t="shared" si="2"/>
        <v>42.079700000000003</v>
      </c>
      <c r="R35"/>
    </row>
    <row r="36" spans="1:19" ht="129" outlineLevel="1" x14ac:dyDescent="0.5">
      <c r="A36" s="102">
        <v>14</v>
      </c>
      <c r="B36" s="103" t="s">
        <v>117</v>
      </c>
      <c r="C36" s="104" t="s">
        <v>118</v>
      </c>
      <c r="D36" s="189" t="s">
        <v>119</v>
      </c>
      <c r="E36" s="190"/>
      <c r="F36" s="104" t="s">
        <v>120</v>
      </c>
      <c r="G36" s="102">
        <v>80.6892</v>
      </c>
      <c r="H36" s="102" t="s">
        <v>121</v>
      </c>
      <c r="I36" s="105" t="s">
        <v>122</v>
      </c>
      <c r="J36" s="104" t="s">
        <v>123</v>
      </c>
      <c r="K36" s="104" t="s">
        <v>124</v>
      </c>
      <c r="L36" s="102" t="s">
        <v>53</v>
      </c>
      <c r="M36" s="102">
        <v>1.2</v>
      </c>
      <c r="N36" s="106">
        <f t="shared" si="2"/>
        <v>96.826999999999998</v>
      </c>
    </row>
    <row r="37" spans="1:19" ht="115.85" customHeight="1" outlineLevel="1" x14ac:dyDescent="0.5">
      <c r="A37" s="102">
        <v>15</v>
      </c>
      <c r="B37" s="103" t="s">
        <v>125</v>
      </c>
      <c r="C37" s="104" t="s">
        <v>126</v>
      </c>
      <c r="D37" s="194" t="s">
        <v>127</v>
      </c>
      <c r="E37" s="194"/>
      <c r="F37" s="104" t="s">
        <v>128</v>
      </c>
      <c r="G37" s="102">
        <v>98.724100000000007</v>
      </c>
      <c r="H37" s="102" t="s">
        <v>129</v>
      </c>
      <c r="I37" s="105" t="s">
        <v>130</v>
      </c>
      <c r="J37" s="104" t="s">
        <v>131</v>
      </c>
      <c r="K37" s="104" t="s">
        <v>132</v>
      </c>
      <c r="L37" s="102" t="s">
        <v>62</v>
      </c>
      <c r="M37" s="102">
        <v>1.2</v>
      </c>
      <c r="N37" s="106">
        <f t="shared" si="2"/>
        <v>118.4689</v>
      </c>
    </row>
    <row r="38" spans="1:19" ht="115.85" customHeight="1" outlineLevel="1" x14ac:dyDescent="0.5">
      <c r="A38" s="102">
        <v>16</v>
      </c>
      <c r="B38" s="103" t="s">
        <v>133</v>
      </c>
      <c r="C38" s="104" t="s">
        <v>134</v>
      </c>
      <c r="D38" s="189" t="s">
        <v>135</v>
      </c>
      <c r="E38" s="190"/>
      <c r="F38" s="104" t="s">
        <v>136</v>
      </c>
      <c r="G38" s="102">
        <v>20.047000000000001</v>
      </c>
      <c r="H38" s="102" t="s">
        <v>137</v>
      </c>
      <c r="I38" s="105"/>
      <c r="J38" s="104" t="s">
        <v>138</v>
      </c>
      <c r="K38" s="104" t="s">
        <v>139</v>
      </c>
      <c r="L38" s="102" t="s">
        <v>140</v>
      </c>
      <c r="M38" s="102">
        <v>1.1499999999999999</v>
      </c>
      <c r="N38" s="106">
        <f t="shared" si="2"/>
        <v>23.054099999999998</v>
      </c>
    </row>
    <row r="39" spans="1:19" ht="115.85" customHeight="1" outlineLevel="1" x14ac:dyDescent="0.5">
      <c r="A39" s="102">
        <v>17</v>
      </c>
      <c r="B39" s="103" t="s">
        <v>141</v>
      </c>
      <c r="C39" s="104" t="s">
        <v>142</v>
      </c>
      <c r="D39" s="189" t="s">
        <v>135</v>
      </c>
      <c r="E39" s="190"/>
      <c r="F39" s="104" t="s">
        <v>143</v>
      </c>
      <c r="G39" s="102">
        <v>9.8856000000000002</v>
      </c>
      <c r="H39" s="102" t="s">
        <v>144</v>
      </c>
      <c r="I39" s="105"/>
      <c r="J39" s="104" t="s">
        <v>145</v>
      </c>
      <c r="K39" s="104" t="s">
        <v>139</v>
      </c>
      <c r="L39" s="102" t="s">
        <v>140</v>
      </c>
      <c r="M39" s="102">
        <v>1.1499999999999999</v>
      </c>
      <c r="N39" s="106">
        <f t="shared" si="2"/>
        <v>11.368399999999999</v>
      </c>
    </row>
    <row r="40" spans="1:19" ht="115.85" customHeight="1" outlineLevel="1" x14ac:dyDescent="0.5">
      <c r="A40" s="102">
        <v>18</v>
      </c>
      <c r="B40" s="103" t="s">
        <v>146</v>
      </c>
      <c r="C40" s="104" t="s">
        <v>134</v>
      </c>
      <c r="D40" s="189" t="s">
        <v>147</v>
      </c>
      <c r="E40" s="190"/>
      <c r="F40" s="104" t="s">
        <v>148</v>
      </c>
      <c r="G40" s="102">
        <v>14.3451</v>
      </c>
      <c r="H40" s="102" t="s">
        <v>149</v>
      </c>
      <c r="I40" s="105"/>
      <c r="J40" s="105" t="s">
        <v>150</v>
      </c>
      <c r="K40" s="104" t="s">
        <v>139</v>
      </c>
      <c r="L40" s="102" t="s">
        <v>140</v>
      </c>
      <c r="M40" s="102">
        <v>1.1499999999999999</v>
      </c>
      <c r="N40" s="106">
        <f t="shared" si="2"/>
        <v>16.4969</v>
      </c>
    </row>
    <row r="41" spans="1:19" ht="115.85" customHeight="1" outlineLevel="1" x14ac:dyDescent="0.5">
      <c r="A41" s="102">
        <v>19</v>
      </c>
      <c r="B41" s="103" t="s">
        <v>151</v>
      </c>
      <c r="C41" s="104" t="s">
        <v>152</v>
      </c>
      <c r="D41" s="189" t="s">
        <v>153</v>
      </c>
      <c r="E41" s="190"/>
      <c r="F41" s="104" t="s">
        <v>154</v>
      </c>
      <c r="G41" s="102">
        <v>38.566600000000001</v>
      </c>
      <c r="H41" s="102" t="s">
        <v>155</v>
      </c>
      <c r="I41" s="105"/>
      <c r="J41" s="104" t="s">
        <v>156</v>
      </c>
      <c r="K41" s="104"/>
      <c r="L41" s="102" t="s">
        <v>140</v>
      </c>
      <c r="M41" s="102">
        <v>1.1499999999999999</v>
      </c>
      <c r="N41" s="106">
        <f t="shared" si="2"/>
        <v>44.351599999999998</v>
      </c>
    </row>
    <row r="42" spans="1:19" outlineLevel="1" x14ac:dyDescent="0.5">
      <c r="A42" s="22"/>
      <c r="B42" s="23"/>
      <c r="C42" s="16"/>
      <c r="D42" s="195"/>
      <c r="E42" s="195"/>
      <c r="F42" s="24"/>
      <c r="G42" s="22"/>
      <c r="H42" s="22"/>
      <c r="I42" s="25"/>
      <c r="J42" s="24"/>
      <c r="K42" s="24"/>
      <c r="L42" s="22"/>
      <c r="M42" s="10"/>
      <c r="N42" s="18"/>
    </row>
    <row r="43" spans="1:19" outlineLevel="1" x14ac:dyDescent="0.5">
      <c r="A43" t="s">
        <v>157</v>
      </c>
      <c r="G43" s="26">
        <f>SUM(G23:G42)</f>
        <v>968.63147809999998</v>
      </c>
      <c r="N43" s="26">
        <f>SUM(N23:N42)</f>
        <v>1158.2156000000002</v>
      </c>
    </row>
    <row r="44" spans="1:19" x14ac:dyDescent="0.5">
      <c r="N44" s="26"/>
    </row>
    <row r="45" spans="1:19" x14ac:dyDescent="0.5">
      <c r="A45" t="s">
        <v>158</v>
      </c>
      <c r="B45" s="186" t="s">
        <v>159</v>
      </c>
      <c r="C45" s="186"/>
      <c r="D45" s="186"/>
      <c r="E45" s="186"/>
      <c r="F45" s="186"/>
      <c r="G45" s="186"/>
      <c r="H45" s="186"/>
      <c r="I45" s="186"/>
      <c r="J45" s="186"/>
      <c r="K45" s="186"/>
    </row>
    <row r="46" spans="1:19" x14ac:dyDescent="0.5">
      <c r="A46" s="27" t="s">
        <v>160</v>
      </c>
      <c r="B46" t="s">
        <v>161</v>
      </c>
    </row>
    <row r="47" spans="1:19" ht="99" customHeight="1" x14ac:dyDescent="0.5">
      <c r="A47" s="28" t="s">
        <v>162</v>
      </c>
      <c r="B47" s="196" t="s">
        <v>163</v>
      </c>
      <c r="C47" s="196"/>
      <c r="D47" s="196"/>
      <c r="E47" s="196"/>
      <c r="F47" s="197" t="s">
        <v>164</v>
      </c>
      <c r="G47" s="197" t="s">
        <v>165</v>
      </c>
      <c r="H47" s="30" t="s">
        <v>166</v>
      </c>
      <c r="I47" s="29" t="s">
        <v>167</v>
      </c>
      <c r="J47" s="29" t="s">
        <v>168</v>
      </c>
      <c r="K47" s="29" t="s">
        <v>169</v>
      </c>
      <c r="L47" s="29" t="s">
        <v>170</v>
      </c>
      <c r="M47" s="29" t="s">
        <v>171</v>
      </c>
      <c r="N47" s="197" t="s">
        <v>42</v>
      </c>
      <c r="O47" s="197" t="s">
        <v>43</v>
      </c>
      <c r="P47" s="29" t="s">
        <v>172</v>
      </c>
      <c r="Q47" s="198" t="s">
        <v>173</v>
      </c>
      <c r="R47" s="200" t="s">
        <v>174</v>
      </c>
      <c r="S47" s="202" t="s">
        <v>175</v>
      </c>
    </row>
    <row r="48" spans="1:19" s="11" customFormat="1" ht="70.2" customHeight="1" x14ac:dyDescent="0.5">
      <c r="A48" s="28">
        <v>1</v>
      </c>
      <c r="B48" s="196">
        <v>2</v>
      </c>
      <c r="C48" s="196"/>
      <c r="D48" s="196"/>
      <c r="E48" s="196"/>
      <c r="F48" s="197"/>
      <c r="G48" s="197"/>
      <c r="H48" s="29">
        <v>3</v>
      </c>
      <c r="I48" s="29">
        <v>4</v>
      </c>
      <c r="J48" s="29">
        <v>5</v>
      </c>
      <c r="K48" s="29">
        <v>6</v>
      </c>
      <c r="L48" s="29" t="s">
        <v>176</v>
      </c>
      <c r="M48" s="29">
        <v>8</v>
      </c>
      <c r="N48" s="197"/>
      <c r="O48" s="197"/>
      <c r="P48" s="29" t="s">
        <v>177</v>
      </c>
      <c r="Q48" s="199"/>
      <c r="R48" s="201"/>
      <c r="S48" s="203"/>
    </row>
    <row r="49" spans="1:22" ht="57.35" x14ac:dyDescent="0.5">
      <c r="A49" s="31">
        <v>1</v>
      </c>
      <c r="B49" s="204" t="s">
        <v>178</v>
      </c>
      <c r="C49" s="205"/>
      <c r="D49" s="205"/>
      <c r="E49" s="206"/>
      <c r="F49" s="32" t="s">
        <v>179</v>
      </c>
      <c r="G49" s="32" t="s">
        <v>180</v>
      </c>
      <c r="H49" s="33">
        <v>1</v>
      </c>
      <c r="I49" s="32" t="s">
        <v>181</v>
      </c>
      <c r="J49" s="34">
        <v>15.785299999999999</v>
      </c>
      <c r="K49" s="35">
        <v>15.6089</v>
      </c>
      <c r="L49" s="91">
        <f t="shared" ref="L49" si="3">J49-K49</f>
        <v>0.17639999999999922</v>
      </c>
      <c r="M49" s="36" t="s">
        <v>182</v>
      </c>
      <c r="N49" s="37" t="s">
        <v>53</v>
      </c>
      <c r="O49" s="38">
        <v>1.2</v>
      </c>
      <c r="P49" s="39">
        <f t="shared" ref="P49:P55" si="4">ROUND(H49*L49*O49,2)</f>
        <v>0.21</v>
      </c>
      <c r="Q49" s="40"/>
      <c r="R49" s="41">
        <f t="shared" ref="R49:R55" si="5">K49/J49</f>
        <v>0.98882504608718247</v>
      </c>
      <c r="S49" s="31" t="s">
        <v>351</v>
      </c>
    </row>
    <row r="50" spans="1:22" ht="79.849999999999994" customHeight="1" x14ac:dyDescent="0.5">
      <c r="A50" s="42">
        <v>2</v>
      </c>
      <c r="B50" s="207" t="s">
        <v>186</v>
      </c>
      <c r="C50" s="208"/>
      <c r="D50" s="208"/>
      <c r="E50" s="209"/>
      <c r="F50" s="43" t="s">
        <v>187</v>
      </c>
      <c r="G50" s="43" t="s">
        <v>188</v>
      </c>
      <c r="H50" s="44">
        <v>1</v>
      </c>
      <c r="I50" s="43" t="s">
        <v>189</v>
      </c>
      <c r="J50" s="45">
        <v>86.494</v>
      </c>
      <c r="K50" s="92">
        <v>79.571600000000004</v>
      </c>
      <c r="L50" s="93">
        <f>J50-K50</f>
        <v>6.9223999999999961</v>
      </c>
      <c r="M50" s="94" t="s">
        <v>190</v>
      </c>
      <c r="N50" s="95" t="s">
        <v>53</v>
      </c>
      <c r="O50" s="96">
        <v>1.2</v>
      </c>
      <c r="P50" s="97">
        <f t="shared" si="4"/>
        <v>8.31</v>
      </c>
      <c r="Q50" s="98"/>
      <c r="R50" s="99">
        <f t="shared" si="5"/>
        <v>0.91996670289268623</v>
      </c>
      <c r="S50" s="42" t="s">
        <v>312</v>
      </c>
    </row>
    <row r="51" spans="1:22" ht="71.7" x14ac:dyDescent="0.5">
      <c r="A51" s="167">
        <v>3</v>
      </c>
      <c r="B51" s="210" t="s">
        <v>191</v>
      </c>
      <c r="C51" s="211"/>
      <c r="D51" s="211"/>
      <c r="E51" s="212"/>
      <c r="F51" s="168" t="s">
        <v>78</v>
      </c>
      <c r="G51" s="168" t="s">
        <v>192</v>
      </c>
      <c r="H51" s="169">
        <v>1</v>
      </c>
      <c r="I51" s="168" t="s">
        <v>353</v>
      </c>
      <c r="J51" s="170">
        <f>101.106+5.2425</f>
        <v>106.3485</v>
      </c>
      <c r="K51" s="171">
        <v>71.607699999999994</v>
      </c>
      <c r="L51" s="172">
        <f t="shared" ref="L51:L52" si="6">J51-K51</f>
        <v>34.740800000000007</v>
      </c>
      <c r="M51" s="173" t="s">
        <v>193</v>
      </c>
      <c r="N51" s="174" t="s">
        <v>62</v>
      </c>
      <c r="O51" s="175">
        <v>1.2</v>
      </c>
      <c r="P51" s="176">
        <f t="shared" si="4"/>
        <v>41.69</v>
      </c>
      <c r="Q51" s="177"/>
      <c r="R51" s="178">
        <f t="shared" si="5"/>
        <v>0.67333060644955023</v>
      </c>
      <c r="S51" s="167" t="s">
        <v>350</v>
      </c>
      <c r="U51" s="70">
        <f>(K51+K52)/(J51+J52)</f>
        <v>0.75778073578152705</v>
      </c>
    </row>
    <row r="52" spans="1:22" ht="71.7" x14ac:dyDescent="0.5">
      <c r="A52" s="167">
        <v>4</v>
      </c>
      <c r="B52" s="210" t="s">
        <v>194</v>
      </c>
      <c r="C52" s="211"/>
      <c r="D52" s="211"/>
      <c r="E52" s="212"/>
      <c r="F52" s="168" t="s">
        <v>195</v>
      </c>
      <c r="G52" s="168" t="s">
        <v>196</v>
      </c>
      <c r="H52" s="169">
        <v>1</v>
      </c>
      <c r="I52" s="168" t="s">
        <v>352</v>
      </c>
      <c r="J52" s="170">
        <f>107.886+6.4098</f>
        <v>114.2958</v>
      </c>
      <c r="K52" s="171">
        <v>95.592299999999994</v>
      </c>
      <c r="L52" s="172">
        <f t="shared" si="6"/>
        <v>18.703500000000005</v>
      </c>
      <c r="M52" s="173" t="s">
        <v>197</v>
      </c>
      <c r="N52" s="174" t="s">
        <v>62</v>
      </c>
      <c r="O52" s="175">
        <v>1.2</v>
      </c>
      <c r="P52" s="176">
        <f t="shared" si="4"/>
        <v>22.44</v>
      </c>
      <c r="Q52" s="177"/>
      <c r="R52" s="178">
        <f t="shared" si="5"/>
        <v>0.83635881633445841</v>
      </c>
      <c r="S52" s="167" t="s">
        <v>313</v>
      </c>
    </row>
    <row r="53" spans="1:22" ht="71.7" x14ac:dyDescent="0.5">
      <c r="A53" s="128">
        <v>5</v>
      </c>
      <c r="B53" s="213" t="s">
        <v>107</v>
      </c>
      <c r="C53" s="214"/>
      <c r="D53" s="214"/>
      <c r="E53" s="215"/>
      <c r="F53" s="109" t="s">
        <v>108</v>
      </c>
      <c r="G53" s="109" t="s">
        <v>203</v>
      </c>
      <c r="H53" s="129">
        <v>1</v>
      </c>
      <c r="I53" s="109" t="s">
        <v>204</v>
      </c>
      <c r="J53" s="110">
        <v>39.884900000000002</v>
      </c>
      <c r="K53" s="110">
        <f>36.6954+0.3298</f>
        <v>37.025199999999998</v>
      </c>
      <c r="L53" s="118">
        <f>J53-K53</f>
        <v>2.8597000000000037</v>
      </c>
      <c r="M53" s="112" t="s">
        <v>314</v>
      </c>
      <c r="N53" s="119" t="s">
        <v>99</v>
      </c>
      <c r="O53" s="113">
        <v>1.2</v>
      </c>
      <c r="P53" s="114">
        <f t="shared" si="4"/>
        <v>3.43</v>
      </c>
      <c r="Q53" s="130"/>
      <c r="R53" s="131">
        <f t="shared" ref="R53" si="7">K53/J53</f>
        <v>0.92830118666462735</v>
      </c>
      <c r="S53" s="128" t="s">
        <v>315</v>
      </c>
    </row>
    <row r="54" spans="1:22" ht="99.6" customHeight="1" x14ac:dyDescent="0.5">
      <c r="A54" s="128">
        <v>6</v>
      </c>
      <c r="B54" s="216" t="s">
        <v>205</v>
      </c>
      <c r="C54" s="216"/>
      <c r="D54" s="216"/>
      <c r="E54" s="216"/>
      <c r="F54" s="109" t="s">
        <v>206</v>
      </c>
      <c r="G54" s="109" t="s">
        <v>207</v>
      </c>
      <c r="H54" s="129">
        <v>1</v>
      </c>
      <c r="I54" s="109" t="s">
        <v>208</v>
      </c>
      <c r="J54" s="110">
        <v>214.65</v>
      </c>
      <c r="K54" s="34">
        <v>183.51689999999999</v>
      </c>
      <c r="L54" s="132">
        <f t="shared" ref="L54:L55" si="8">ROUND(J54-K54,2)</f>
        <v>31.13</v>
      </c>
      <c r="M54" s="112" t="s">
        <v>209</v>
      </c>
      <c r="N54" s="119" t="s">
        <v>140</v>
      </c>
      <c r="O54" s="133">
        <v>1.1499999999999999</v>
      </c>
      <c r="P54" s="114">
        <f t="shared" si="4"/>
        <v>35.799999999999997</v>
      </c>
      <c r="Q54" s="130"/>
      <c r="R54" s="131">
        <f t="shared" si="5"/>
        <v>0.85495877009084553</v>
      </c>
      <c r="S54" s="128" t="s">
        <v>316</v>
      </c>
      <c r="U54">
        <v>0</v>
      </c>
      <c r="V54">
        <f t="shared" ref="V54" si="9">U54*K54</f>
        <v>0</v>
      </c>
    </row>
    <row r="55" spans="1:22" ht="99.6" customHeight="1" x14ac:dyDescent="0.5">
      <c r="A55" s="42">
        <v>7</v>
      </c>
      <c r="B55" s="217" t="s">
        <v>210</v>
      </c>
      <c r="C55" s="217"/>
      <c r="D55" s="217"/>
      <c r="E55" s="217"/>
      <c r="F55" s="43" t="s">
        <v>211</v>
      </c>
      <c r="G55" s="43" t="s">
        <v>212</v>
      </c>
      <c r="H55" s="44">
        <v>1</v>
      </c>
      <c r="I55" s="43" t="s">
        <v>213</v>
      </c>
      <c r="J55" s="45">
        <v>376.37</v>
      </c>
      <c r="K55" s="34">
        <v>259.9905</v>
      </c>
      <c r="L55" s="163">
        <f t="shared" si="8"/>
        <v>116.38</v>
      </c>
      <c r="M55" s="94" t="s">
        <v>318</v>
      </c>
      <c r="N55" s="95" t="s">
        <v>214</v>
      </c>
      <c r="O55" s="96">
        <v>1.05</v>
      </c>
      <c r="P55" s="97">
        <f t="shared" si="4"/>
        <v>122.2</v>
      </c>
      <c r="Q55" s="98"/>
      <c r="R55" s="99">
        <f t="shared" si="5"/>
        <v>0.69078433456439137</v>
      </c>
      <c r="S55" s="42" t="s">
        <v>317</v>
      </c>
    </row>
    <row r="56" spans="1:22" x14ac:dyDescent="0.5">
      <c r="A56" s="1"/>
      <c r="B56" s="1"/>
      <c r="C56" s="1"/>
      <c r="D56" s="1"/>
      <c r="E56" s="1"/>
      <c r="F56" s="1"/>
      <c r="G56" s="1"/>
      <c r="H56" s="1"/>
      <c r="I56" s="1"/>
      <c r="J56" s="46">
        <f>SUM(J49:J55)</f>
        <v>953.82850000000008</v>
      </c>
      <c r="K56" s="47">
        <f>SUM(K49:K55)</f>
        <v>742.91309999999999</v>
      </c>
      <c r="L56" s="46">
        <f>SUM(L49:L55)</f>
        <v>210.9128</v>
      </c>
      <c r="M56" s="1"/>
      <c r="N56" s="1"/>
      <c r="O56" s="48" t="s">
        <v>215</v>
      </c>
      <c r="P56" s="46">
        <f>SUM(P49:P55)</f>
        <v>234.08</v>
      </c>
      <c r="Q56" s="1"/>
      <c r="R56" s="49"/>
      <c r="S56" s="1"/>
    </row>
    <row r="57" spans="1:22" ht="129" outlineLevel="1" x14ac:dyDescent="0.5">
      <c r="A57" s="31">
        <v>8</v>
      </c>
      <c r="B57" s="204" t="s">
        <v>216</v>
      </c>
      <c r="C57" s="205"/>
      <c r="D57" s="205"/>
      <c r="E57" s="206"/>
      <c r="F57" s="32" t="s">
        <v>126</v>
      </c>
      <c r="G57" s="32" t="s">
        <v>217</v>
      </c>
      <c r="H57" s="33">
        <v>1</v>
      </c>
      <c r="I57" s="32" t="s">
        <v>218</v>
      </c>
      <c r="J57" s="34">
        <f>0.8</f>
        <v>0.8</v>
      </c>
      <c r="K57" s="35">
        <v>0.39119999999999999</v>
      </c>
      <c r="L57" s="50">
        <f t="shared" ref="L57:L62" si="10">ROUND(J57-K57,2)</f>
        <v>0.41</v>
      </c>
      <c r="M57" s="36" t="s">
        <v>219</v>
      </c>
      <c r="N57" s="37" t="s">
        <v>99</v>
      </c>
      <c r="O57" s="38">
        <v>1.2</v>
      </c>
      <c r="P57" s="39"/>
      <c r="Q57" s="40"/>
      <c r="R57" s="41">
        <f t="shared" ref="R57:R62" si="11">K57/J57</f>
        <v>0.48899999999999999</v>
      </c>
      <c r="S57" s="38" t="s">
        <v>220</v>
      </c>
    </row>
    <row r="58" spans="1:22" ht="129" outlineLevel="1" x14ac:dyDescent="0.5">
      <c r="A58" s="134">
        <v>9</v>
      </c>
      <c r="B58" s="218" t="s">
        <v>221</v>
      </c>
      <c r="C58" s="219"/>
      <c r="D58" s="219"/>
      <c r="E58" s="220"/>
      <c r="F58" s="104" t="s">
        <v>126</v>
      </c>
      <c r="G58" s="104" t="s">
        <v>217</v>
      </c>
      <c r="H58" s="135">
        <v>1</v>
      </c>
      <c r="I58" s="104" t="s">
        <v>222</v>
      </c>
      <c r="J58" s="136">
        <v>2.6349999999999998</v>
      </c>
      <c r="K58" s="287">
        <v>1.4475</v>
      </c>
      <c r="L58" s="137">
        <f t="shared" si="10"/>
        <v>1.19</v>
      </c>
      <c r="M58" s="105" t="s">
        <v>219</v>
      </c>
      <c r="N58" s="138" t="s">
        <v>99</v>
      </c>
      <c r="O58" s="139">
        <v>1.2</v>
      </c>
      <c r="P58" s="140"/>
      <c r="Q58" s="141"/>
      <c r="R58" s="142">
        <f t="shared" si="11"/>
        <v>0.5493358633776092</v>
      </c>
      <c r="S58" s="139" t="s">
        <v>481</v>
      </c>
    </row>
    <row r="59" spans="1:22" ht="100.2" customHeight="1" outlineLevel="1" x14ac:dyDescent="0.5">
      <c r="A59" s="134">
        <v>10</v>
      </c>
      <c r="B59" s="218" t="s">
        <v>223</v>
      </c>
      <c r="C59" s="219"/>
      <c r="D59" s="219"/>
      <c r="E59" s="220"/>
      <c r="F59" s="104" t="s">
        <v>126</v>
      </c>
      <c r="G59" s="104" t="s">
        <v>217</v>
      </c>
      <c r="H59" s="135">
        <v>1</v>
      </c>
      <c r="I59" s="104" t="s">
        <v>224</v>
      </c>
      <c r="J59" s="136">
        <v>63.782200000000003</v>
      </c>
      <c r="K59" s="136">
        <v>63.684899999999999</v>
      </c>
      <c r="L59" s="137">
        <f t="shared" si="10"/>
        <v>0.1</v>
      </c>
      <c r="M59" s="105" t="s">
        <v>296</v>
      </c>
      <c r="N59" s="138" t="s">
        <v>140</v>
      </c>
      <c r="O59" s="139">
        <v>1.1499999999999999</v>
      </c>
      <c r="P59" s="140">
        <f t="shared" ref="P59" si="12">ROUND(H59*L59*O59,2)</f>
        <v>0.12</v>
      </c>
      <c r="Q59" s="141"/>
      <c r="R59" s="142">
        <f t="shared" si="11"/>
        <v>0.99847449601926552</v>
      </c>
      <c r="S59" s="139" t="s">
        <v>320</v>
      </c>
      <c r="U59" s="70">
        <f>(K59+K58+K57)/(J59+J58+J57)</f>
        <v>0.97480406800640307</v>
      </c>
    </row>
    <row r="60" spans="1:22" ht="85.2" customHeight="1" outlineLevel="1" x14ac:dyDescent="0.5">
      <c r="A60" s="128">
        <v>11</v>
      </c>
      <c r="B60" s="216" t="s">
        <v>225</v>
      </c>
      <c r="C60" s="216"/>
      <c r="D60" s="216"/>
      <c r="E60" s="216"/>
      <c r="F60" s="109" t="s">
        <v>226</v>
      </c>
      <c r="G60" s="109" t="s">
        <v>217</v>
      </c>
      <c r="H60" s="129">
        <v>1</v>
      </c>
      <c r="I60" s="109" t="s">
        <v>227</v>
      </c>
      <c r="J60" s="110">
        <v>19.010000000000002</v>
      </c>
      <c r="K60" s="110">
        <v>12.6129</v>
      </c>
      <c r="L60" s="132">
        <f t="shared" si="10"/>
        <v>6.4</v>
      </c>
      <c r="M60" s="112" t="s">
        <v>294</v>
      </c>
      <c r="N60" s="119" t="s">
        <v>140</v>
      </c>
      <c r="O60" s="113">
        <v>1.1499999999999999</v>
      </c>
      <c r="P60" s="114">
        <f t="shared" ref="P60:P63" si="13">ROUND(H60*L60*O60,2)</f>
        <v>7.36</v>
      </c>
      <c r="Q60" s="130"/>
      <c r="R60" s="131">
        <f t="shared" si="11"/>
        <v>0.66348763808521827</v>
      </c>
      <c r="S60" s="113" t="s">
        <v>295</v>
      </c>
    </row>
    <row r="61" spans="1:22" ht="86" outlineLevel="1" x14ac:dyDescent="0.5">
      <c r="A61" s="134">
        <v>12</v>
      </c>
      <c r="B61" s="221" t="s">
        <v>228</v>
      </c>
      <c r="C61" s="221"/>
      <c r="D61" s="221"/>
      <c r="E61" s="221"/>
      <c r="F61" s="104" t="s">
        <v>229</v>
      </c>
      <c r="G61" s="104" t="s">
        <v>217</v>
      </c>
      <c r="H61" s="135">
        <v>1</v>
      </c>
      <c r="I61" s="104" t="s">
        <v>230</v>
      </c>
      <c r="J61" s="136">
        <v>41.815800000000003</v>
      </c>
      <c r="K61" s="136">
        <v>39.315100000000001</v>
      </c>
      <c r="L61" s="137">
        <f t="shared" si="10"/>
        <v>2.5</v>
      </c>
      <c r="M61" s="105" t="s">
        <v>297</v>
      </c>
      <c r="N61" s="138" t="s">
        <v>140</v>
      </c>
      <c r="O61" s="139">
        <v>1.1499999999999999</v>
      </c>
      <c r="P61" s="140">
        <f t="shared" si="13"/>
        <v>2.88</v>
      </c>
      <c r="Q61" s="141"/>
      <c r="R61" s="142">
        <f t="shared" si="11"/>
        <v>0.94019724601705568</v>
      </c>
      <c r="S61" s="139" t="s">
        <v>319</v>
      </c>
      <c r="T61" s="7"/>
    </row>
    <row r="62" spans="1:22" ht="86" outlineLevel="1" x14ac:dyDescent="0.5">
      <c r="A62" s="134">
        <v>13</v>
      </c>
      <c r="B62" s="194" t="s">
        <v>231</v>
      </c>
      <c r="C62" s="194"/>
      <c r="D62" s="194"/>
      <c r="E62" s="194"/>
      <c r="F62" s="104" t="s">
        <v>232</v>
      </c>
      <c r="G62" s="104" t="s">
        <v>217</v>
      </c>
      <c r="H62" s="135">
        <v>1</v>
      </c>
      <c r="I62" s="104" t="s">
        <v>263</v>
      </c>
      <c r="J62" s="136">
        <v>72.465599999999995</v>
      </c>
      <c r="K62" s="136">
        <v>72.31</v>
      </c>
      <c r="L62" s="137">
        <f t="shared" si="10"/>
        <v>0.16</v>
      </c>
      <c r="M62" s="105" t="s">
        <v>298</v>
      </c>
      <c r="N62" s="138" t="s">
        <v>214</v>
      </c>
      <c r="O62" s="139">
        <v>1.05</v>
      </c>
      <c r="P62" s="140">
        <f t="shared" si="13"/>
        <v>0.17</v>
      </c>
      <c r="Q62" s="141"/>
      <c r="R62" s="142">
        <f t="shared" si="11"/>
        <v>0.99785277428186625</v>
      </c>
      <c r="S62" s="139" t="s">
        <v>321</v>
      </c>
      <c r="T62" s="7"/>
    </row>
    <row r="63" spans="1:22" ht="50.35" customHeight="1" outlineLevel="1" x14ac:dyDescent="0.5">
      <c r="A63" s="134">
        <v>14</v>
      </c>
      <c r="B63" s="221" t="s">
        <v>322</v>
      </c>
      <c r="C63" s="221"/>
      <c r="D63" s="221"/>
      <c r="E63" s="221"/>
      <c r="F63" s="104" t="s">
        <v>226</v>
      </c>
      <c r="G63" s="104" t="s">
        <v>217</v>
      </c>
      <c r="H63" s="135">
        <v>1</v>
      </c>
      <c r="I63" s="104" t="s">
        <v>323</v>
      </c>
      <c r="J63" s="136">
        <v>79.424700000000001</v>
      </c>
      <c r="K63" s="136">
        <v>0</v>
      </c>
      <c r="L63" s="137">
        <f>J63-K63</f>
        <v>79.424700000000001</v>
      </c>
      <c r="M63" s="105" t="s">
        <v>324</v>
      </c>
      <c r="N63" s="138" t="s">
        <v>325</v>
      </c>
      <c r="O63" s="139">
        <v>1</v>
      </c>
      <c r="P63" s="140">
        <f t="shared" si="13"/>
        <v>79.42</v>
      </c>
      <c r="Q63" s="141"/>
      <c r="R63" s="142"/>
      <c r="S63" s="139"/>
      <c r="T63" s="7"/>
    </row>
    <row r="64" spans="1:22" outlineLevel="1" x14ac:dyDescent="0.5">
      <c r="A64" s="4"/>
      <c r="B64" s="21"/>
      <c r="C64" s="21"/>
      <c r="D64" s="21"/>
      <c r="E64" s="21"/>
      <c r="F64" s="16"/>
      <c r="G64" s="16"/>
      <c r="H64" s="51"/>
      <c r="I64" s="54" t="s">
        <v>233</v>
      </c>
      <c r="J64" s="47">
        <f>SUM(J57:J63)</f>
        <v>279.93330000000003</v>
      </c>
      <c r="K64" s="47">
        <f>SUM(K57:K63)</f>
        <v>189.76159999999999</v>
      </c>
      <c r="L64" s="47">
        <f>SUM(L57:L63)</f>
        <v>90.184700000000007</v>
      </c>
      <c r="M64" s="19"/>
      <c r="N64" s="20"/>
      <c r="O64" s="21"/>
      <c r="P64" s="47">
        <f>SUM(P57:P63)</f>
        <v>89.95</v>
      </c>
      <c r="Q64" s="52"/>
      <c r="R64" s="53"/>
      <c r="S64" s="21"/>
      <c r="T64" s="7"/>
    </row>
    <row r="65" spans="1:19" x14ac:dyDescent="0.5">
      <c r="A65" s="1" t="s">
        <v>157</v>
      </c>
      <c r="B65" s="1"/>
      <c r="C65" s="1"/>
      <c r="D65" s="1"/>
      <c r="E65" s="1"/>
      <c r="F65" s="1"/>
      <c r="G65" s="1"/>
      <c r="H65" s="1"/>
      <c r="I65" s="2" t="s">
        <v>234</v>
      </c>
      <c r="J65" s="47">
        <f>J64+J56</f>
        <v>1233.7618000000002</v>
      </c>
      <c r="K65" s="47">
        <f>K64+K56</f>
        <v>932.67470000000003</v>
      </c>
      <c r="L65" s="47">
        <f>L64+L56</f>
        <v>301.09750000000003</v>
      </c>
      <c r="M65" s="1"/>
      <c r="N65" s="1"/>
      <c r="O65" s="48" t="s">
        <v>215</v>
      </c>
      <c r="P65" s="47">
        <f>P64+P56</f>
        <v>324.03000000000003</v>
      </c>
      <c r="Q65" s="1"/>
      <c r="R65" s="49"/>
      <c r="S65" s="1"/>
    </row>
    <row r="67" spans="1:19" x14ac:dyDescent="0.5">
      <c r="A67" s="4" t="s">
        <v>235</v>
      </c>
      <c r="B67" s="4" t="s">
        <v>236</v>
      </c>
      <c r="C67" s="4"/>
      <c r="D67" s="4"/>
      <c r="E67" s="4"/>
      <c r="F67" s="4"/>
      <c r="G67" s="4"/>
      <c r="H67" s="4"/>
      <c r="I67" s="4"/>
      <c r="J67" s="4"/>
      <c r="K67" s="4"/>
    </row>
    <row r="68" spans="1:19" ht="89.45" customHeight="1" x14ac:dyDescent="0.5">
      <c r="A68" s="5" t="s">
        <v>237</v>
      </c>
      <c r="B68" s="5" t="s">
        <v>238</v>
      </c>
      <c r="C68" s="5" t="s">
        <v>165</v>
      </c>
      <c r="D68" s="5" t="s">
        <v>239</v>
      </c>
      <c r="E68" s="5" t="s">
        <v>240</v>
      </c>
      <c r="F68" s="5" t="s">
        <v>241</v>
      </c>
      <c r="G68" s="5" t="s">
        <v>242</v>
      </c>
      <c r="H68" s="187" t="s">
        <v>243</v>
      </c>
      <c r="I68" s="187"/>
      <c r="J68" s="187"/>
      <c r="K68" s="187"/>
    </row>
    <row r="69" spans="1:19" x14ac:dyDescent="0.5">
      <c r="A69" s="71">
        <v>1</v>
      </c>
      <c r="B69" s="71">
        <v>1</v>
      </c>
      <c r="C69" s="71">
        <v>2</v>
      </c>
      <c r="D69" s="71">
        <v>3</v>
      </c>
      <c r="E69" s="71">
        <v>4</v>
      </c>
      <c r="F69" s="71">
        <v>5</v>
      </c>
      <c r="G69" s="71">
        <v>6</v>
      </c>
      <c r="H69" s="200">
        <v>7</v>
      </c>
      <c r="I69" s="200"/>
      <c r="J69" s="200"/>
      <c r="K69" s="200"/>
    </row>
    <row r="70" spans="1:19" s="11" customFormat="1" ht="92" x14ac:dyDescent="0.5">
      <c r="A70" s="144">
        <v>1</v>
      </c>
      <c r="B70" s="149" t="s">
        <v>327</v>
      </c>
      <c r="C70" s="150" t="s">
        <v>331</v>
      </c>
      <c r="D70" s="150" t="s">
        <v>332</v>
      </c>
      <c r="E70" s="150">
        <v>241</v>
      </c>
      <c r="F70" s="150" t="s">
        <v>333</v>
      </c>
      <c r="G70" s="145" t="s">
        <v>340</v>
      </c>
      <c r="H70" s="223" t="s">
        <v>326</v>
      </c>
      <c r="I70" s="223"/>
      <c r="J70" s="223"/>
      <c r="K70" s="223"/>
      <c r="N70" s="57"/>
      <c r="O70" s="57"/>
    </row>
    <row r="71" spans="1:19" s="11" customFormat="1" ht="86.35" customHeight="1" x14ac:dyDescent="0.5">
      <c r="A71" s="144">
        <v>2</v>
      </c>
      <c r="B71" s="149" t="s">
        <v>328</v>
      </c>
      <c r="C71" s="150" t="s">
        <v>331</v>
      </c>
      <c r="D71" s="150" t="s">
        <v>332</v>
      </c>
      <c r="E71" s="150">
        <v>277</v>
      </c>
      <c r="F71" s="150" t="s">
        <v>333</v>
      </c>
      <c r="G71" s="145" t="s">
        <v>340</v>
      </c>
      <c r="H71" s="223" t="s">
        <v>326</v>
      </c>
      <c r="I71" s="223"/>
      <c r="J71" s="223"/>
      <c r="K71" s="223"/>
      <c r="N71" s="57"/>
      <c r="O71" s="57"/>
    </row>
    <row r="72" spans="1:19" s="11" customFormat="1" ht="107.35" x14ac:dyDescent="0.5">
      <c r="A72" s="144">
        <v>3</v>
      </c>
      <c r="B72" s="149" t="s">
        <v>329</v>
      </c>
      <c r="C72" s="150" t="s">
        <v>334</v>
      </c>
      <c r="D72" s="150" t="s">
        <v>335</v>
      </c>
      <c r="E72" s="150">
        <v>333</v>
      </c>
      <c r="F72" s="150" t="s">
        <v>336</v>
      </c>
      <c r="G72" s="145" t="s">
        <v>340</v>
      </c>
      <c r="H72" s="223" t="s">
        <v>326</v>
      </c>
      <c r="I72" s="223"/>
      <c r="J72" s="223"/>
      <c r="K72" s="223"/>
      <c r="N72" s="57"/>
      <c r="O72" s="57"/>
    </row>
    <row r="73" spans="1:19" s="11" customFormat="1" ht="107.35" x14ac:dyDescent="0.5">
      <c r="A73" s="144">
        <v>4</v>
      </c>
      <c r="B73" s="149" t="s">
        <v>330</v>
      </c>
      <c r="C73" s="150" t="s">
        <v>337</v>
      </c>
      <c r="D73" s="150" t="s">
        <v>338</v>
      </c>
      <c r="E73" s="150">
        <v>122</v>
      </c>
      <c r="F73" s="150" t="s">
        <v>336</v>
      </c>
      <c r="G73" s="145" t="s">
        <v>340</v>
      </c>
      <c r="H73" s="223" t="s">
        <v>326</v>
      </c>
      <c r="I73" s="223"/>
      <c r="J73" s="223"/>
      <c r="K73" s="223"/>
      <c r="N73" s="57"/>
      <c r="O73" s="57"/>
    </row>
    <row r="74" spans="1:19" s="11" customFormat="1" ht="92" x14ac:dyDescent="0.5">
      <c r="A74" s="4">
        <v>5</v>
      </c>
      <c r="B74" s="149" t="s">
        <v>339</v>
      </c>
      <c r="C74" s="150" t="s">
        <v>337</v>
      </c>
      <c r="D74" s="150" t="s">
        <v>338</v>
      </c>
      <c r="E74" s="55">
        <v>144.1</v>
      </c>
      <c r="F74" s="150" t="s">
        <v>336</v>
      </c>
      <c r="G74" s="145" t="s">
        <v>340</v>
      </c>
      <c r="H74" s="223" t="s">
        <v>326</v>
      </c>
      <c r="I74" s="223"/>
      <c r="J74" s="223"/>
      <c r="K74" s="223"/>
      <c r="N74" s="57"/>
      <c r="O74" s="57"/>
    </row>
    <row r="75" spans="1:19" s="11" customFormat="1" ht="86" x14ac:dyDescent="0.5">
      <c r="A75" s="146">
        <v>6</v>
      </c>
      <c r="B75" s="147" t="s">
        <v>346</v>
      </c>
      <c r="C75" s="76" t="s">
        <v>347</v>
      </c>
      <c r="D75" s="150" t="s">
        <v>348</v>
      </c>
      <c r="E75" s="148">
        <v>94.68</v>
      </c>
      <c r="F75" s="146" t="s">
        <v>89</v>
      </c>
      <c r="G75" s="158" t="s">
        <v>349</v>
      </c>
      <c r="H75" s="223" t="s">
        <v>326</v>
      </c>
      <c r="I75" s="223"/>
      <c r="J75" s="223"/>
      <c r="K75" s="223"/>
      <c r="N75" s="57"/>
      <c r="O75" s="57"/>
    </row>
    <row r="76" spans="1:19" s="11" customFormat="1" x14ac:dyDescent="0.5">
      <c r="A76" s="4"/>
      <c r="B76" s="21"/>
      <c r="C76" s="16"/>
      <c r="D76" s="143"/>
      <c r="E76" s="55"/>
      <c r="F76" s="4"/>
      <c r="G76" s="56"/>
      <c r="H76" s="10"/>
      <c r="I76" s="10"/>
      <c r="J76" s="10"/>
      <c r="K76" s="10"/>
      <c r="N76" s="57"/>
      <c r="O76" s="57"/>
    </row>
    <row r="77" spans="1:19" s="11" customFormat="1" x14ac:dyDescent="0.5">
      <c r="A77" s="4"/>
      <c r="B77" s="21"/>
      <c r="C77" s="16"/>
      <c r="D77" s="143"/>
      <c r="E77" s="55"/>
      <c r="F77" s="4"/>
      <c r="G77" s="56"/>
      <c r="H77" s="10"/>
      <c r="I77" s="10"/>
      <c r="J77" s="10"/>
      <c r="K77" s="10"/>
      <c r="N77" s="57"/>
      <c r="O77" s="57"/>
    </row>
    <row r="78" spans="1:19" s="11" customFormat="1" x14ac:dyDescent="0.5">
      <c r="A78" s="4"/>
      <c r="B78" s="21"/>
      <c r="C78" s="16"/>
      <c r="D78" s="143"/>
      <c r="E78" s="55"/>
      <c r="F78" s="4"/>
      <c r="G78" s="56"/>
      <c r="H78" s="10"/>
      <c r="I78" s="10"/>
      <c r="J78" s="10"/>
      <c r="K78" s="10"/>
      <c r="N78" s="57"/>
      <c r="O78" s="57"/>
    </row>
    <row r="79" spans="1:19" x14ac:dyDescent="0.5">
      <c r="A79" s="1"/>
      <c r="B79" s="1"/>
      <c r="C79" s="1"/>
      <c r="D79" s="1"/>
      <c r="E79" s="58">
        <f>SUM(E70:E78)</f>
        <v>1211.78</v>
      </c>
      <c r="F79" s="1"/>
      <c r="G79" s="1"/>
      <c r="H79" s="1"/>
      <c r="I79" s="1"/>
      <c r="J79" s="1"/>
      <c r="K79" s="1"/>
    </row>
    <row r="80" spans="1:19" x14ac:dyDescent="0.5">
      <c r="A80" s="180" t="s">
        <v>244</v>
      </c>
      <c r="B80" s="180"/>
      <c r="C80" s="180"/>
      <c r="D80" s="180"/>
      <c r="E80" s="180"/>
      <c r="F80" s="180"/>
      <c r="G80" s="180"/>
      <c r="H80" s="180"/>
      <c r="I80" s="180"/>
      <c r="J80" s="180"/>
      <c r="K80" s="180"/>
    </row>
    <row r="81" spans="1:18" x14ac:dyDescent="0.5">
      <c r="A81" s="1"/>
      <c r="B81" s="1"/>
      <c r="C81" s="1"/>
      <c r="D81" s="1"/>
      <c r="E81" s="1"/>
      <c r="F81" s="1"/>
      <c r="G81" s="1"/>
      <c r="H81" s="1"/>
      <c r="I81" s="1"/>
      <c r="J81" s="1"/>
      <c r="K81" s="1"/>
    </row>
    <row r="82" spans="1:18" ht="30" customHeight="1" x14ac:dyDescent="0.5">
      <c r="A82" s="1"/>
      <c r="B82" s="1" t="s">
        <v>245</v>
      </c>
      <c r="C82" s="222" t="s">
        <v>246</v>
      </c>
      <c r="D82" s="222"/>
      <c r="E82" s="222"/>
      <c r="F82" s="222"/>
      <c r="G82" s="222"/>
      <c r="H82" s="222"/>
      <c r="I82" s="222"/>
      <c r="J82" s="222"/>
      <c r="K82" s="222"/>
    </row>
    <row r="83" spans="1:18" x14ac:dyDescent="0.5">
      <c r="A83" s="1"/>
      <c r="B83" s="1"/>
      <c r="C83" s="1" t="s">
        <v>341</v>
      </c>
      <c r="D83" s="1" t="s">
        <v>247</v>
      </c>
      <c r="E83" s="1"/>
      <c r="F83" s="1"/>
      <c r="G83" s="1"/>
      <c r="H83" s="1"/>
      <c r="I83" s="1"/>
      <c r="J83" s="1" t="s">
        <v>248</v>
      </c>
      <c r="K83" s="64">
        <f>H17</f>
        <v>30907.080010000001</v>
      </c>
    </row>
    <row r="84" spans="1:18" x14ac:dyDescent="0.5">
      <c r="A84" s="1"/>
      <c r="B84" s="1"/>
      <c r="C84" s="1" t="s">
        <v>342</v>
      </c>
      <c r="D84" s="1"/>
      <c r="E84" s="1"/>
      <c r="F84" s="1"/>
      <c r="G84" s="1"/>
      <c r="H84" s="1"/>
      <c r="I84" s="1"/>
      <c r="J84" s="1"/>
      <c r="K84" s="1">
        <v>1</v>
      </c>
    </row>
    <row r="85" spans="1:18" ht="15.7" x14ac:dyDescent="0.55000000000000004">
      <c r="A85" s="1"/>
      <c r="B85" s="1"/>
      <c r="C85" s="1"/>
      <c r="D85" s="1"/>
      <c r="E85" s="1"/>
      <c r="F85" s="1"/>
      <c r="G85" s="2" t="s">
        <v>249</v>
      </c>
      <c r="H85" s="1" t="s">
        <v>343</v>
      </c>
      <c r="I85" s="1"/>
      <c r="J85" s="1" t="s">
        <v>248</v>
      </c>
      <c r="K85" s="152">
        <f>ROUND(K83*K84,2)</f>
        <v>30907.08</v>
      </c>
    </row>
    <row r="86" spans="1:18" x14ac:dyDescent="0.5">
      <c r="A86" s="1"/>
      <c r="B86" s="1"/>
      <c r="C86" s="1"/>
      <c r="D86" s="1"/>
      <c r="E86" s="1"/>
      <c r="F86" s="1"/>
      <c r="G86" s="1"/>
      <c r="H86" s="1"/>
      <c r="I86" s="1"/>
      <c r="J86" s="1"/>
      <c r="K86" s="1"/>
    </row>
    <row r="87" spans="1:18" ht="27.95" customHeight="1" x14ac:dyDescent="0.5">
      <c r="A87" s="1"/>
      <c r="B87" s="1" t="s">
        <v>250</v>
      </c>
      <c r="C87" s="222" t="s">
        <v>264</v>
      </c>
      <c r="D87" s="222"/>
      <c r="E87" s="222"/>
      <c r="F87" s="222"/>
      <c r="G87" s="222"/>
      <c r="H87" s="222"/>
      <c r="I87" s="222"/>
      <c r="J87" s="222"/>
      <c r="K87" s="222"/>
    </row>
    <row r="88" spans="1:18" x14ac:dyDescent="0.5">
      <c r="A88" s="1"/>
      <c r="B88" s="1"/>
      <c r="C88" s="151"/>
      <c r="D88" s="151"/>
      <c r="E88" s="151"/>
      <c r="F88" s="151"/>
      <c r="G88" s="151"/>
      <c r="H88" s="151"/>
      <c r="I88" s="151"/>
      <c r="J88" s="151"/>
      <c r="K88" s="151"/>
    </row>
    <row r="89" spans="1:18" ht="15.7" x14ac:dyDescent="0.5">
      <c r="A89" s="1"/>
      <c r="B89" s="1"/>
      <c r="C89" s="1"/>
      <c r="D89" s="1"/>
      <c r="E89" s="1"/>
      <c r="F89" s="1"/>
      <c r="G89" s="153"/>
      <c r="H89" s="1"/>
      <c r="I89" s="48" t="s">
        <v>251</v>
      </c>
      <c r="J89" s="1" t="s">
        <v>248</v>
      </c>
      <c r="K89" s="154">
        <f>P65*100</f>
        <v>32403.000000000004</v>
      </c>
      <c r="M89" s="60"/>
    </row>
    <row r="90" spans="1:18" x14ac:dyDescent="0.5">
      <c r="A90" s="1"/>
      <c r="B90" s="1"/>
      <c r="C90" s="1"/>
      <c r="D90" s="1"/>
      <c r="E90" s="1"/>
      <c r="F90" s="1"/>
      <c r="G90" s="1"/>
      <c r="H90" s="1"/>
      <c r="I90" s="1"/>
      <c r="J90" s="1"/>
      <c r="K90" s="1"/>
    </row>
    <row r="91" spans="1:18" x14ac:dyDescent="0.5">
      <c r="A91" s="1"/>
      <c r="B91" s="1" t="s">
        <v>252</v>
      </c>
      <c r="C91" s="1" t="s">
        <v>253</v>
      </c>
      <c r="D91" s="1"/>
      <c r="E91" s="1"/>
      <c r="F91" s="1"/>
      <c r="G91" s="1"/>
      <c r="H91" s="1"/>
      <c r="I91" s="1"/>
      <c r="J91" s="20" t="s">
        <v>254</v>
      </c>
      <c r="K91" s="1">
        <v>1.5</v>
      </c>
      <c r="M91" s="7"/>
      <c r="N91" s="7"/>
    </row>
    <row r="92" spans="1:18" x14ac:dyDescent="0.5">
      <c r="A92" s="1"/>
      <c r="B92" s="1"/>
      <c r="C92" s="1"/>
      <c r="D92" s="1"/>
      <c r="E92" s="1"/>
      <c r="F92" s="1"/>
      <c r="G92" s="1"/>
      <c r="H92" s="1"/>
      <c r="I92" s="1"/>
      <c r="J92" s="1"/>
      <c r="K92" s="1"/>
    </row>
    <row r="93" spans="1:18" s="60" customFormat="1" x14ac:dyDescent="0.5">
      <c r="A93" s="155"/>
      <c r="B93" s="155" t="s">
        <v>255</v>
      </c>
      <c r="C93" s="155" t="s">
        <v>344</v>
      </c>
      <c r="D93" s="155" t="s">
        <v>256</v>
      </c>
      <c r="E93" s="156">
        <f>K85</f>
        <v>30907.08</v>
      </c>
      <c r="F93" s="155" t="s">
        <v>345</v>
      </c>
      <c r="G93" s="155" t="s">
        <v>257</v>
      </c>
      <c r="H93" s="156">
        <f>K89</f>
        <v>32403.000000000004</v>
      </c>
      <c r="I93" s="155" t="s">
        <v>256</v>
      </c>
      <c r="J93" s="155" t="s">
        <v>248</v>
      </c>
      <c r="K93" s="155">
        <f>(K85*K91*2.5)-K89</f>
        <v>83498.55</v>
      </c>
      <c r="R93" s="61"/>
    </row>
    <row r="94" spans="1:18" x14ac:dyDescent="0.5">
      <c r="A94" s="1"/>
      <c r="B94" s="1"/>
      <c r="C94" s="1"/>
      <c r="D94" s="1"/>
      <c r="E94" s="1"/>
      <c r="F94" s="1"/>
      <c r="G94" s="1"/>
      <c r="H94" s="1"/>
      <c r="I94" s="1"/>
      <c r="J94" s="1"/>
      <c r="K94" s="157">
        <f>(E79*100)</f>
        <v>121178</v>
      </c>
    </row>
    <row r="95" spans="1:18" x14ac:dyDescent="0.5">
      <c r="A95" s="1"/>
      <c r="B95" s="1"/>
      <c r="C95" s="1"/>
      <c r="D95" s="1"/>
      <c r="E95" s="1"/>
      <c r="F95" s="1"/>
      <c r="G95" s="1"/>
      <c r="H95" s="1"/>
      <c r="I95" s="1"/>
      <c r="J95" s="1"/>
      <c r="K95" s="157">
        <f>K93-K94</f>
        <v>-37679.449999999997</v>
      </c>
    </row>
  </sheetData>
  <mergeCells count="62">
    <mergeCell ref="A80:K80"/>
    <mergeCell ref="C82:K82"/>
    <mergeCell ref="C87:K87"/>
    <mergeCell ref="H70:K70"/>
    <mergeCell ref="H71:K71"/>
    <mergeCell ref="H72:K72"/>
    <mergeCell ref="H73:K73"/>
    <mergeCell ref="H74:K74"/>
    <mergeCell ref="H75:K75"/>
    <mergeCell ref="H69:K69"/>
    <mergeCell ref="B53:E53"/>
    <mergeCell ref="B54:E54"/>
    <mergeCell ref="B55:E55"/>
    <mergeCell ref="B57:E57"/>
    <mergeCell ref="B58:E58"/>
    <mergeCell ref="B59:E59"/>
    <mergeCell ref="B60:E60"/>
    <mergeCell ref="B61:E61"/>
    <mergeCell ref="B62:E62"/>
    <mergeCell ref="B63:E63"/>
    <mergeCell ref="H68:K68"/>
    <mergeCell ref="B49:E49"/>
    <mergeCell ref="N47:N48"/>
    <mergeCell ref="B50:E50"/>
    <mergeCell ref="B51:E51"/>
    <mergeCell ref="B52:E52"/>
    <mergeCell ref="O47:O48"/>
    <mergeCell ref="Q47:Q48"/>
    <mergeCell ref="R47:R48"/>
    <mergeCell ref="S47:S48"/>
    <mergeCell ref="B48:E48"/>
    <mergeCell ref="D42:E42"/>
    <mergeCell ref="B45:K45"/>
    <mergeCell ref="B47:E47"/>
    <mergeCell ref="F47:F48"/>
    <mergeCell ref="G47:G48"/>
    <mergeCell ref="D41:E41"/>
    <mergeCell ref="D28:E28"/>
    <mergeCell ref="D29:E29"/>
    <mergeCell ref="D30:E30"/>
    <mergeCell ref="D31:E31"/>
    <mergeCell ref="D32:E32"/>
    <mergeCell ref="D33:E33"/>
    <mergeCell ref="D34:E34"/>
    <mergeCell ref="D35:E35"/>
    <mergeCell ref="D36:E36"/>
    <mergeCell ref="D37:E37"/>
    <mergeCell ref="D38:E38"/>
    <mergeCell ref="D39:E39"/>
    <mergeCell ref="D40:E40"/>
    <mergeCell ref="D27:E27"/>
    <mergeCell ref="D26:E26"/>
    <mergeCell ref="A1:K1"/>
    <mergeCell ref="D3:K3"/>
    <mergeCell ref="B10:E10"/>
    <mergeCell ref="F18:G18"/>
    <mergeCell ref="F19:G19"/>
    <mergeCell ref="B21:K21"/>
    <mergeCell ref="D22:E22"/>
    <mergeCell ref="D23:E23"/>
    <mergeCell ref="D24:E24"/>
    <mergeCell ref="D25:E25"/>
  </mergeCells>
  <printOptions horizontalCentered="1"/>
  <pageMargins left="0" right="0" top="0.5" bottom="0.5" header="0.05" footer="0.05"/>
  <pageSetup paperSize="9" scale="14" orientation="portrait" r:id="rId1"/>
  <rowBreaks count="1" manualBreakCount="1">
    <brk id="79"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7372-A8CB-431A-ADC1-2DF6CDC1F40B}">
  <sheetPr>
    <tabColor rgb="FF00B0F0"/>
  </sheetPr>
  <dimension ref="A1:T22"/>
  <sheetViews>
    <sheetView zoomScale="50" zoomScaleNormal="50" workbookViewId="0">
      <pane ySplit="2" topLeftCell="A3" activePane="bottomLeft" state="frozen"/>
      <selection pane="bottomLeft" activeCell="N22" sqref="N22"/>
    </sheetView>
  </sheetViews>
  <sheetFormatPr defaultRowHeight="14.35" outlineLevelCol="1" x14ac:dyDescent="0.5"/>
  <cols>
    <col min="2" max="2" width="41.1171875" customWidth="1"/>
    <col min="3" max="3" width="10.41015625" customWidth="1"/>
    <col min="4" max="4" width="13.41015625" customWidth="1"/>
    <col min="5" max="5" width="13.1171875" customWidth="1"/>
    <col min="6" max="6" width="11.1171875" bestFit="1" customWidth="1" outlineLevel="1"/>
    <col min="7" max="8" width="11.76171875" customWidth="1" outlineLevel="1"/>
    <col min="9" max="13" width="11.76171875" bestFit="1" customWidth="1"/>
    <col min="14" max="17" width="12.234375" bestFit="1" customWidth="1"/>
    <col min="19" max="19" width="11.76171875" bestFit="1" customWidth="1"/>
    <col min="20" max="20" width="12.234375" bestFit="1" customWidth="1"/>
  </cols>
  <sheetData>
    <row r="1" spans="1:20" s="11" customFormat="1" ht="43" x14ac:dyDescent="0.5">
      <c r="A1" s="4" t="s">
        <v>311</v>
      </c>
      <c r="B1" s="4" t="s">
        <v>310</v>
      </c>
      <c r="C1" s="4" t="s">
        <v>309</v>
      </c>
      <c r="D1" s="21" t="s">
        <v>43</v>
      </c>
      <c r="E1" s="16" t="s">
        <v>308</v>
      </c>
      <c r="F1" s="32" t="s">
        <v>53</v>
      </c>
      <c r="G1" s="32" t="s">
        <v>62</v>
      </c>
      <c r="H1" s="32" t="s">
        <v>91</v>
      </c>
      <c r="I1" s="4" t="s">
        <v>99</v>
      </c>
      <c r="J1" s="4" t="s">
        <v>140</v>
      </c>
      <c r="K1" s="4" t="s">
        <v>307</v>
      </c>
      <c r="L1" s="4" t="s">
        <v>214</v>
      </c>
      <c r="M1" s="4" t="s">
        <v>289</v>
      </c>
      <c r="N1" s="16" t="s">
        <v>306</v>
      </c>
      <c r="O1" s="87" t="s">
        <v>305</v>
      </c>
      <c r="P1" s="87" t="s">
        <v>304</v>
      </c>
      <c r="Q1" s="86" t="s">
        <v>303</v>
      </c>
      <c r="S1" s="16" t="s">
        <v>302</v>
      </c>
      <c r="T1" s="16" t="s">
        <v>301</v>
      </c>
    </row>
    <row r="2" spans="1:20" x14ac:dyDescent="0.5">
      <c r="A2" s="1"/>
      <c r="B2" s="1"/>
      <c r="C2" s="1"/>
      <c r="D2" s="3"/>
      <c r="E2" s="85"/>
      <c r="F2" s="84"/>
      <c r="G2" s="84"/>
      <c r="H2" s="84"/>
      <c r="I2" s="1">
        <v>1.2</v>
      </c>
      <c r="J2" s="1">
        <v>1.1499999999999999</v>
      </c>
      <c r="K2" s="1">
        <v>1.1000000000000001</v>
      </c>
      <c r="L2" s="1">
        <v>1.05</v>
      </c>
      <c r="M2" s="1">
        <v>1</v>
      </c>
      <c r="N2" s="1">
        <f>5139700000*10%</f>
        <v>513970000</v>
      </c>
      <c r="O2" s="78">
        <v>101800000</v>
      </c>
      <c r="P2" s="78">
        <v>149800000</v>
      </c>
      <c r="Q2" s="83">
        <v>95323559</v>
      </c>
      <c r="S2" s="1"/>
      <c r="T2" s="1"/>
    </row>
    <row r="3" spans="1:20" s="11" customFormat="1" ht="28.7" x14ac:dyDescent="0.5">
      <c r="A3" s="4">
        <v>1</v>
      </c>
      <c r="B3" s="21" t="str">
        <f>'[196]QUALIFICATION INFORMATION'!B23</f>
        <v>RESTORATION AND LINING OF SONE WESTERN LINK CANAL</v>
      </c>
      <c r="C3" s="4">
        <v>4</v>
      </c>
      <c r="D3" s="4">
        <f t="shared" ref="D3:D19" si="0">IF(C3=4,0.75,1)</f>
        <v>0.75</v>
      </c>
      <c r="E3" s="4">
        <f>2208485169+161863502+199644323</f>
        <v>2569992994</v>
      </c>
      <c r="F3" s="31">
        <v>431125500</v>
      </c>
      <c r="G3" s="31">
        <f>601820631+10458103</f>
        <v>612278734</v>
      </c>
      <c r="H3" s="31">
        <v>411363698</v>
      </c>
      <c r="I3" s="4">
        <f>352104465+51617190</f>
        <v>403721655</v>
      </c>
      <c r="J3" s="4">
        <f>320530556+88529571+113001479</f>
        <v>522061606</v>
      </c>
      <c r="K3" s="4">
        <f>91540319+11258638+86642844</f>
        <v>189441801</v>
      </c>
      <c r="L3" s="4">
        <v>0</v>
      </c>
      <c r="M3" s="4">
        <v>0</v>
      </c>
      <c r="N3" s="4">
        <f t="shared" ref="N3:N19" si="1">IF(E3*D3&gt;$N$2,SUMPRODUCT(I3:M3,$I$2:$M$2)*D3,0)</f>
        <v>969917110.5</v>
      </c>
      <c r="O3" s="81">
        <f t="shared" ref="O3:O19" si="2">IF(SUMPRODUCT(I3:M3,$I$2:$M$2)*D3&gt;$O$2,SUMPRODUCT(I3:M3,$I$2:$M$2)*D3,0)</f>
        <v>969917110.5</v>
      </c>
      <c r="P3" s="81">
        <f t="shared" ref="P3:P19" si="3">IF(SUMPRODUCT(I3:M3,$I$2:$M$2)*D3&gt;$P$2,SUMPRODUCT(I3:M3,$I$2:$M$2)*D3,0)</f>
        <v>969917110.5</v>
      </c>
      <c r="Q3" s="80">
        <f t="shared" ref="Q3:Q19" si="4">IF(SUMPRODUCT(I3:M3,$I$2:$M$2)*D3&gt;$Q$2,SUMPRODUCT(I3:M3,$I$2:$M$2)*D3,0)</f>
        <v>969917110.5</v>
      </c>
      <c r="S3" s="4"/>
      <c r="T3" s="4"/>
    </row>
    <row r="4" spans="1:20" s="11" customFormat="1" ht="43" x14ac:dyDescent="0.5">
      <c r="A4" s="4">
        <v>2</v>
      </c>
      <c r="B4" s="21" t="str">
        <f>'[196]QUALIFICATION INFORMATION'!B24</f>
        <v>CONSTRUCTION OF CANAL AND ITS LINING WORK AND STRUCTURES FROM R.D. 806.40 TO R.D. 827.70 UNDER TIRHUT MAIN CANAL</v>
      </c>
      <c r="C4" s="4">
        <v>4</v>
      </c>
      <c r="D4" s="4">
        <f t="shared" si="0"/>
        <v>0.75</v>
      </c>
      <c r="E4" s="4">
        <f>694771963+484676426</f>
        <v>1179448389</v>
      </c>
      <c r="F4" s="31">
        <v>21852387</v>
      </c>
      <c r="G4" s="31">
        <v>168584156</v>
      </c>
      <c r="H4" s="31">
        <v>103897160</v>
      </c>
      <c r="I4" s="4">
        <v>69072781</v>
      </c>
      <c r="J4" s="4">
        <v>82542049</v>
      </c>
      <c r="K4" s="4">
        <v>67974162</v>
      </c>
      <c r="L4" s="4">
        <v>147021847</v>
      </c>
      <c r="M4" s="4">
        <f>899019634-657850311</f>
        <v>241169323</v>
      </c>
      <c r="N4" s="4">
        <f t="shared" si="1"/>
        <v>486093400.57500005</v>
      </c>
      <c r="O4" s="81">
        <f t="shared" si="2"/>
        <v>486093400.57500005</v>
      </c>
      <c r="P4" s="81">
        <f t="shared" si="3"/>
        <v>486093400.57500005</v>
      </c>
      <c r="Q4" s="80">
        <f t="shared" si="4"/>
        <v>486093400.57500005</v>
      </c>
      <c r="S4" s="4"/>
      <c r="T4" s="4"/>
    </row>
    <row r="5" spans="1:20" s="11" customFormat="1" ht="43" x14ac:dyDescent="0.5">
      <c r="A5" s="4">
        <v>3</v>
      </c>
      <c r="B5" s="21" t="str">
        <f>'[196]QUALIFICATION INFORMATION'!B25</f>
        <v>Widening and Strengthening of Samastipur-Dalsinghsarai Road in Km. 20.00 to Km. 28.80 (Total Length 7.900 Km.) for the year 2018-19</v>
      </c>
      <c r="C5" s="4">
        <v>3</v>
      </c>
      <c r="D5" s="4">
        <f t="shared" si="0"/>
        <v>1</v>
      </c>
      <c r="E5" s="4">
        <v>182581146</v>
      </c>
      <c r="F5" s="31"/>
      <c r="G5" s="31"/>
      <c r="H5" s="31">
        <v>33344729</v>
      </c>
      <c r="I5" s="4">
        <v>148109472</v>
      </c>
      <c r="J5" s="4">
        <v>1126945</v>
      </c>
      <c r="K5" s="4">
        <v>0</v>
      </c>
      <c r="L5" s="4">
        <v>0</v>
      </c>
      <c r="M5" s="4">
        <v>0</v>
      </c>
      <c r="N5" s="4">
        <f t="shared" si="1"/>
        <v>0</v>
      </c>
      <c r="O5" s="81">
        <f t="shared" si="2"/>
        <v>179027353.15000001</v>
      </c>
      <c r="P5" s="81">
        <f t="shared" si="3"/>
        <v>179027353.15000001</v>
      </c>
      <c r="Q5" s="80">
        <f t="shared" si="4"/>
        <v>179027353.15000001</v>
      </c>
      <c r="S5" s="4">
        <f>E5*1.2</f>
        <v>219097375.19999999</v>
      </c>
      <c r="T5" s="4">
        <f t="shared" ref="T5:T12" si="5">S5*4</f>
        <v>876389500.79999995</v>
      </c>
    </row>
    <row r="6" spans="1:20" s="11" customFormat="1" ht="57.35" x14ac:dyDescent="0.5">
      <c r="A6" s="4">
        <v>4</v>
      </c>
      <c r="B6" s="21" t="str">
        <f>'[196]QUALIFICATION INFORMATION'!B26</f>
        <v>Widening &amp; Strengthening of Dharraura Chowk to Mazampur Bajidpur-Bahera Jhanjharpur road in km 0.0 to 11.64 in darbhanga district under Road Division, Benipur for the year 2019-20</v>
      </c>
      <c r="C6" s="4">
        <v>3</v>
      </c>
      <c r="D6" s="4">
        <f t="shared" si="0"/>
        <v>1</v>
      </c>
      <c r="E6" s="4">
        <v>107649145</v>
      </c>
      <c r="F6" s="31"/>
      <c r="G6" s="31"/>
      <c r="H6" s="31"/>
      <c r="I6" s="4">
        <v>33509377</v>
      </c>
      <c r="J6" s="4">
        <v>49746587</v>
      </c>
      <c r="K6" s="4">
        <v>21997765</v>
      </c>
      <c r="L6" s="4">
        <v>2395416</v>
      </c>
      <c r="M6" s="4">
        <v>0</v>
      </c>
      <c r="N6" s="4">
        <f t="shared" si="1"/>
        <v>0</v>
      </c>
      <c r="O6" s="81">
        <f t="shared" si="2"/>
        <v>124132555.74999999</v>
      </c>
      <c r="P6" s="81">
        <f t="shared" si="3"/>
        <v>0</v>
      </c>
      <c r="Q6" s="80">
        <f t="shared" si="4"/>
        <v>124132555.74999999</v>
      </c>
      <c r="S6" s="4">
        <f>E6*1.2</f>
        <v>129178974</v>
      </c>
      <c r="T6" s="4">
        <f t="shared" si="5"/>
        <v>516715896</v>
      </c>
    </row>
    <row r="7" spans="1:20" s="11" customFormat="1" ht="86" x14ac:dyDescent="0.5">
      <c r="A7" s="4">
        <v>5</v>
      </c>
      <c r="B7" s="21" t="str">
        <f>'[196]QUALIFICATION INFORMATION'!B27</f>
        <v>Widening &amp; Strengthening of Supaul to Bauram Road  in km 0.00 to 12.20 under Road Division Benipur for the year 2019-20Widening &amp; Strengthening of Supaul to Bauram Road  in km 0.00 to 12.20 under Road Division Benipur for the year 2019-20</v>
      </c>
      <c r="C7" s="4">
        <v>3</v>
      </c>
      <c r="D7" s="4">
        <f t="shared" si="0"/>
        <v>1</v>
      </c>
      <c r="E7" s="4">
        <v>301574869</v>
      </c>
      <c r="F7" s="31"/>
      <c r="G7" s="31"/>
      <c r="H7" s="31"/>
      <c r="I7" s="4">
        <v>24192903</v>
      </c>
      <c r="J7" s="4">
        <v>13981258</v>
      </c>
      <c r="K7" s="4">
        <v>187315688</v>
      </c>
      <c r="L7" s="4">
        <v>72192685</v>
      </c>
      <c r="M7" s="4">
        <v>3892335</v>
      </c>
      <c r="N7" s="4">
        <f t="shared" si="1"/>
        <v>0</v>
      </c>
      <c r="O7" s="81">
        <f t="shared" si="2"/>
        <v>330851841.35000002</v>
      </c>
      <c r="P7" s="81">
        <f t="shared" si="3"/>
        <v>330851841.35000002</v>
      </c>
      <c r="Q7" s="80">
        <f t="shared" si="4"/>
        <v>330851841.35000002</v>
      </c>
      <c r="S7" s="4">
        <f>E7*1.2</f>
        <v>361889842.80000001</v>
      </c>
      <c r="T7" s="4">
        <f t="shared" si="5"/>
        <v>1447559371.2</v>
      </c>
    </row>
    <row r="8" spans="1:20" s="11" customFormat="1" ht="57.35" x14ac:dyDescent="0.5">
      <c r="A8" s="4">
        <v>6</v>
      </c>
      <c r="B8" s="21" t="str">
        <f>'[196]QUALIFICATION INFORMATION'!B28</f>
        <v>Widening &amp; Strengthening work of Vishwakarma Chowk to Guabadi,Narayanpipar, Chaurahi Block Head Via-Bakhadda Chowk of Cheriya Bariyarpur Block for the year 2019-20.</v>
      </c>
      <c r="C8" s="4">
        <v>3</v>
      </c>
      <c r="D8" s="4">
        <f t="shared" si="0"/>
        <v>1</v>
      </c>
      <c r="E8" s="4">
        <v>253638626</v>
      </c>
      <c r="F8" s="31"/>
      <c r="G8" s="31"/>
      <c r="H8" s="31"/>
      <c r="I8" s="4">
        <v>0</v>
      </c>
      <c r="J8" s="4">
        <v>0</v>
      </c>
      <c r="K8" s="4">
        <v>253638626</v>
      </c>
      <c r="L8" s="4">
        <v>0</v>
      </c>
      <c r="M8" s="4">
        <v>0</v>
      </c>
      <c r="N8" s="4">
        <f t="shared" si="1"/>
        <v>0</v>
      </c>
      <c r="O8" s="81">
        <f t="shared" si="2"/>
        <v>279002488.60000002</v>
      </c>
      <c r="P8" s="81">
        <f t="shared" si="3"/>
        <v>279002488.60000002</v>
      </c>
      <c r="Q8" s="80">
        <f t="shared" si="4"/>
        <v>279002488.60000002</v>
      </c>
      <c r="S8" s="4">
        <f>E8*1.1</f>
        <v>279002488.60000002</v>
      </c>
      <c r="T8" s="4">
        <f t="shared" si="5"/>
        <v>1116009954.4000001</v>
      </c>
    </row>
    <row r="9" spans="1:20" s="11" customFormat="1" ht="71.7" x14ac:dyDescent="0.5">
      <c r="A9" s="4">
        <v>7</v>
      </c>
      <c r="B9" s="21" t="str">
        <f>'[196]QUALIFICATION INFORMATION'!B29</f>
        <v>Widening and Strengthening (from Single Lane to Double Lane) of Turki (N.H.-77)-Saraiya (N.H.-102) Road (Km 0.000 to Km 21.825) under PMGSY (RCP-LWE) in the district of Muzaffarpur, Bihar for the year 2019-20 (Package No. BR23RC-119 )</v>
      </c>
      <c r="C9" s="4">
        <v>3</v>
      </c>
      <c r="D9" s="4">
        <f t="shared" si="0"/>
        <v>1</v>
      </c>
      <c r="E9" s="4">
        <v>366954282</v>
      </c>
      <c r="F9" s="31"/>
      <c r="G9" s="31"/>
      <c r="H9" s="31"/>
      <c r="I9" s="4">
        <v>22500000</v>
      </c>
      <c r="J9" s="4">
        <v>118461863</v>
      </c>
      <c r="K9" s="4">
        <v>189725569</v>
      </c>
      <c r="L9" s="4">
        <v>36266850</v>
      </c>
      <c r="M9" s="4">
        <v>0</v>
      </c>
      <c r="N9" s="4">
        <f t="shared" si="1"/>
        <v>0</v>
      </c>
      <c r="O9" s="81">
        <f t="shared" si="2"/>
        <v>410009460.85000002</v>
      </c>
      <c r="P9" s="81">
        <f t="shared" si="3"/>
        <v>410009460.85000002</v>
      </c>
      <c r="Q9" s="80">
        <f t="shared" si="4"/>
        <v>410009460.85000002</v>
      </c>
      <c r="S9" s="4">
        <f>E9*1.2</f>
        <v>440345138.39999998</v>
      </c>
      <c r="T9" s="4">
        <f t="shared" si="5"/>
        <v>1761380553.5999999</v>
      </c>
    </row>
    <row r="10" spans="1:20" s="11" customFormat="1" ht="71.7" x14ac:dyDescent="0.5">
      <c r="A10" s="4">
        <v>8</v>
      </c>
      <c r="B10" s="21" t="str">
        <f>'[196]QUALIFICATION INFORMATION'!B30</f>
        <v>Widening and Strenthening of Road from Basariya, NH-28 to Sarairanjan, NH-103 via Ramnagar chowk (Bella-Megh chowk), Jhakhra, Sarairanjan, Saraiya, Morwa under Road Division, Rosera from Ch. Km. 5.600 to 12.270 for the year 2018-19.</v>
      </c>
      <c r="C10" s="4">
        <v>3</v>
      </c>
      <c r="D10" s="4">
        <f t="shared" si="0"/>
        <v>1</v>
      </c>
      <c r="E10" s="4">
        <v>107517004</v>
      </c>
      <c r="F10" s="31"/>
      <c r="G10" s="31"/>
      <c r="H10" s="31"/>
      <c r="I10" s="4">
        <v>64344549</v>
      </c>
      <c r="J10" s="4">
        <v>37064081</v>
      </c>
      <c r="K10" s="4">
        <v>6108374</v>
      </c>
      <c r="L10" s="4">
        <v>0</v>
      </c>
      <c r="M10" s="4">
        <v>0</v>
      </c>
      <c r="N10" s="4">
        <f t="shared" si="1"/>
        <v>0</v>
      </c>
      <c r="O10" s="81">
        <f t="shared" si="2"/>
        <v>126556363.34999999</v>
      </c>
      <c r="P10" s="81">
        <f t="shared" si="3"/>
        <v>0</v>
      </c>
      <c r="Q10" s="80">
        <f t="shared" si="4"/>
        <v>126556363.34999999</v>
      </c>
      <c r="S10" s="4">
        <f>E10*1.2</f>
        <v>129020404.8</v>
      </c>
      <c r="T10" s="4">
        <f t="shared" si="5"/>
        <v>516081619.19999999</v>
      </c>
    </row>
    <row r="11" spans="1:20" s="11" customFormat="1" ht="43" x14ac:dyDescent="0.5">
      <c r="A11" s="4">
        <v>9</v>
      </c>
      <c r="B11" s="21" t="str">
        <f>'[196]QUALIFICATION INFORMATION'!B31</f>
        <v xml:space="preserve">Widening and Strengthening of Magardahighat to Silout (Durga Asthan) Road in Km 0.00 to 5.00 (Total Length - 5.00 Km) for the year 2019-20. </v>
      </c>
      <c r="C11" s="4">
        <v>3</v>
      </c>
      <c r="D11" s="4">
        <f t="shared" si="0"/>
        <v>1</v>
      </c>
      <c r="E11" s="4">
        <v>185941862</v>
      </c>
      <c r="F11" s="31"/>
      <c r="G11" s="31"/>
      <c r="H11" s="31"/>
      <c r="I11" s="4">
        <v>15000000</v>
      </c>
      <c r="J11" s="4">
        <v>93534627</v>
      </c>
      <c r="K11" s="4">
        <v>55881999</v>
      </c>
      <c r="L11" s="4">
        <v>9380195</v>
      </c>
      <c r="M11" s="4">
        <v>12145041</v>
      </c>
      <c r="N11" s="4">
        <f t="shared" si="1"/>
        <v>0</v>
      </c>
      <c r="O11" s="81">
        <f t="shared" si="2"/>
        <v>209029265.69999999</v>
      </c>
      <c r="P11" s="81">
        <f t="shared" si="3"/>
        <v>209029265.69999999</v>
      </c>
      <c r="Q11" s="80">
        <f t="shared" si="4"/>
        <v>209029265.69999999</v>
      </c>
      <c r="S11" s="4">
        <f>E11*1.2</f>
        <v>223130234.40000001</v>
      </c>
      <c r="T11" s="4">
        <f t="shared" si="5"/>
        <v>892520937.60000002</v>
      </c>
    </row>
    <row r="12" spans="1:20" s="11" customFormat="1" ht="57.35" x14ac:dyDescent="0.5">
      <c r="A12" s="4">
        <v>10</v>
      </c>
      <c r="B12" s="21" t="str">
        <f>'[196]QUALIFICATION INFORMATION'!B32</f>
        <v>WIDENING AND STRENGTHENING OF MUKTAPUR-WARISNAGAR-BHADOGHAT-HATHAURI ROAD IN KM 00 TO 23.300 (TOTAL LENGTH - 23.30 KM) FOR THE YEAR 2019-20</v>
      </c>
      <c r="C12" s="4">
        <v>3</v>
      </c>
      <c r="D12" s="4">
        <f t="shared" si="0"/>
        <v>1</v>
      </c>
      <c r="E12" s="4">
        <v>374358829</v>
      </c>
      <c r="F12" s="31"/>
      <c r="G12" s="31"/>
      <c r="H12" s="31"/>
      <c r="I12" s="4">
        <v>27902890</v>
      </c>
      <c r="J12" s="4">
        <v>100648490</v>
      </c>
      <c r="K12" s="4">
        <v>160720095</v>
      </c>
      <c r="L12" s="4">
        <v>33686032</v>
      </c>
      <c r="M12" s="4">
        <v>51401321</v>
      </c>
      <c r="N12" s="4">
        <f t="shared" si="1"/>
        <v>0</v>
      </c>
      <c r="O12" s="81">
        <f t="shared" si="2"/>
        <v>412792990.60000002</v>
      </c>
      <c r="P12" s="81">
        <f t="shared" si="3"/>
        <v>412792990.60000002</v>
      </c>
      <c r="Q12" s="80">
        <f t="shared" si="4"/>
        <v>412792990.60000002</v>
      </c>
      <c r="S12" s="4">
        <f>E12*1.2</f>
        <v>449230594.80000001</v>
      </c>
      <c r="T12" s="4">
        <f t="shared" si="5"/>
        <v>1796922379.2</v>
      </c>
    </row>
    <row r="13" spans="1:20" s="11" customFormat="1" ht="71.7" x14ac:dyDescent="0.5">
      <c r="A13" s="4">
        <v>11</v>
      </c>
      <c r="B13" s="21" t="str">
        <f>'[196]QUALIFICATION INFORMATION'!B34</f>
        <v>Piling, Civil &amp; Structural and Underground Piping Work for new Process units such as NHT, CCR, NAPTHA SPLITTER, BENSAT and MS BLENDING UNITS OF BS-IV PROJECT at Barauni Refinery (Tender No. TP/069107C001/T/BS-IV/16)</v>
      </c>
      <c r="C13" s="4">
        <v>4</v>
      </c>
      <c r="D13" s="4">
        <f t="shared" si="0"/>
        <v>0.75</v>
      </c>
      <c r="E13" s="4">
        <v>806892297.55999994</v>
      </c>
      <c r="F13" s="31"/>
      <c r="G13" s="31"/>
      <c r="H13" s="31"/>
      <c r="I13" s="4">
        <v>37379374.759999998</v>
      </c>
      <c r="J13" s="4">
        <v>0</v>
      </c>
      <c r="K13" s="4">
        <v>0</v>
      </c>
      <c r="L13" s="4">
        <v>0</v>
      </c>
      <c r="M13" s="4">
        <v>0</v>
      </c>
      <c r="N13" s="4">
        <f t="shared" si="1"/>
        <v>33641437.283999994</v>
      </c>
      <c r="O13" s="81">
        <f t="shared" si="2"/>
        <v>0</v>
      </c>
      <c r="P13" s="81">
        <f t="shared" si="3"/>
        <v>0</v>
      </c>
      <c r="Q13" s="80">
        <f t="shared" si="4"/>
        <v>0</v>
      </c>
      <c r="S13" s="4"/>
      <c r="T13" s="4"/>
    </row>
    <row r="14" spans="1:20" s="11" customFormat="1" ht="43" x14ac:dyDescent="0.5">
      <c r="A14" s="4">
        <v>12</v>
      </c>
      <c r="B14" s="21" t="str">
        <f>'[196]QUALIFICATION INFORMATION'!B35</f>
        <v>Civil Works including Building and U.G.Piping Works for HURL Project, Barauni. SUBCONTRACT FROM TECHNIP INDIA LIMITED</v>
      </c>
      <c r="C14" s="4">
        <v>4</v>
      </c>
      <c r="D14" s="4">
        <f t="shared" si="0"/>
        <v>0.75</v>
      </c>
      <c r="E14" s="4">
        <v>987241560</v>
      </c>
      <c r="F14" s="31"/>
      <c r="G14" s="31">
        <v>25444257.390000001</v>
      </c>
      <c r="H14" s="31">
        <v>382944740.50999999</v>
      </c>
      <c r="I14" s="4">
        <v>330430702.56</v>
      </c>
      <c r="J14" s="4">
        <v>150723728.34999999</v>
      </c>
      <c r="K14" s="4">
        <v>97698131</v>
      </c>
      <c r="L14" s="4">
        <v>0</v>
      </c>
      <c r="M14" s="4">
        <v>0</v>
      </c>
      <c r="N14" s="4">
        <f t="shared" si="1"/>
        <v>507987806.08087504</v>
      </c>
      <c r="O14" s="81">
        <f t="shared" si="2"/>
        <v>507987806.08087504</v>
      </c>
      <c r="P14" s="81">
        <f t="shared" si="3"/>
        <v>507987806.08087504</v>
      </c>
      <c r="Q14" s="80">
        <f t="shared" si="4"/>
        <v>507987806.08087504</v>
      </c>
      <c r="S14" s="4"/>
      <c r="T14" s="4"/>
    </row>
    <row r="15" spans="1:20" s="11" customFormat="1" ht="28.7" x14ac:dyDescent="0.5">
      <c r="A15" s="4">
        <v>13</v>
      </c>
      <c r="B15" s="21" t="str">
        <f>'[196]QUALIFICATION INFORMATION'!B36</f>
        <v>Subcontract for Piling Works of DHDT Unit at IOCL BARAUNI</v>
      </c>
      <c r="C15" s="4">
        <v>4</v>
      </c>
      <c r="D15" s="4">
        <f t="shared" si="0"/>
        <v>0.75</v>
      </c>
      <c r="E15" s="4">
        <v>200177106.78999999</v>
      </c>
      <c r="F15" s="31"/>
      <c r="G15" s="31"/>
      <c r="H15" s="31"/>
      <c r="I15" s="4">
        <v>0</v>
      </c>
      <c r="J15" s="4">
        <v>54891839.57</v>
      </c>
      <c r="K15" s="4">
        <v>145285267.22</v>
      </c>
      <c r="L15" s="4">
        <v>0</v>
      </c>
      <c r="M15" s="4">
        <v>0</v>
      </c>
      <c r="N15" s="4">
        <f t="shared" si="1"/>
        <v>0</v>
      </c>
      <c r="O15" s="81">
        <f t="shared" si="2"/>
        <v>167204557.08562499</v>
      </c>
      <c r="P15" s="81">
        <f t="shared" si="3"/>
        <v>167204557.08562499</v>
      </c>
      <c r="Q15" s="80">
        <f t="shared" si="4"/>
        <v>167204557.08562499</v>
      </c>
      <c r="S15" s="4"/>
      <c r="T15" s="4"/>
    </row>
    <row r="16" spans="1:20" s="11" customFormat="1" ht="28.7" x14ac:dyDescent="0.5">
      <c r="A16" s="4">
        <v>14</v>
      </c>
      <c r="B16" s="21" t="str">
        <f>'[196]QUALIFICATION INFORMATION'!B37</f>
        <v>Subcontract for Piling Work for NHT-ll + ISOM-ll Unit at IOCL, Barauni, Bihar</v>
      </c>
      <c r="C16" s="4">
        <v>4</v>
      </c>
      <c r="D16" s="4">
        <f t="shared" si="0"/>
        <v>0.75</v>
      </c>
      <c r="E16" s="4">
        <v>143382086.02000001</v>
      </c>
      <c r="F16" s="31"/>
      <c r="G16" s="31"/>
      <c r="H16" s="31"/>
      <c r="I16" s="4">
        <v>0</v>
      </c>
      <c r="J16" s="4">
        <v>29308480.329999998</v>
      </c>
      <c r="K16" s="4">
        <v>72973334.659999996</v>
      </c>
      <c r="L16" s="4">
        <v>41100271.030000001</v>
      </c>
      <c r="M16" s="4">
        <v>0</v>
      </c>
      <c r="N16" s="4">
        <f t="shared" si="1"/>
        <v>0</v>
      </c>
      <c r="O16" s="81">
        <f t="shared" si="2"/>
        <v>117848028.81524998</v>
      </c>
      <c r="P16" s="81">
        <f t="shared" si="3"/>
        <v>0</v>
      </c>
      <c r="Q16" s="80">
        <f t="shared" si="4"/>
        <v>117848028.81524998</v>
      </c>
      <c r="S16" s="4"/>
      <c r="T16" s="4"/>
    </row>
    <row r="17" spans="1:20" s="11" customFormat="1" ht="57.35" x14ac:dyDescent="0.5">
      <c r="A17" s="4">
        <v>15</v>
      </c>
      <c r="B17" s="21" t="s">
        <v>186</v>
      </c>
      <c r="C17" s="4">
        <v>4</v>
      </c>
      <c r="D17" s="4">
        <f t="shared" si="0"/>
        <v>0.75</v>
      </c>
      <c r="E17" s="4">
        <v>856248240</v>
      </c>
      <c r="F17" s="31"/>
      <c r="G17" s="31">
        <v>92065143</v>
      </c>
      <c r="H17" s="31">
        <v>121697698</v>
      </c>
      <c r="I17" s="4">
        <v>63006215</v>
      </c>
      <c r="J17" s="4">
        <v>159821843</v>
      </c>
      <c r="K17" s="4">
        <v>117652549</v>
      </c>
      <c r="L17" s="4">
        <v>182038782</v>
      </c>
      <c r="M17" s="4">
        <v>157995777</v>
      </c>
      <c r="N17" s="4">
        <f t="shared" si="1"/>
        <v>553467659.5875001</v>
      </c>
      <c r="O17" s="81">
        <f t="shared" si="2"/>
        <v>553467659.5875001</v>
      </c>
      <c r="P17" s="81">
        <f t="shared" si="3"/>
        <v>553467659.5875001</v>
      </c>
      <c r="Q17" s="80">
        <f t="shared" si="4"/>
        <v>553467659.5875001</v>
      </c>
      <c r="S17" s="4"/>
      <c r="T17" s="4"/>
    </row>
    <row r="18" spans="1:20" s="11" customFormat="1" ht="57.35" x14ac:dyDescent="0.5">
      <c r="A18" s="4">
        <v>16</v>
      </c>
      <c r="B18" s="21" t="s">
        <v>205</v>
      </c>
      <c r="C18" s="4">
        <v>3</v>
      </c>
      <c r="D18" s="4">
        <f t="shared" si="0"/>
        <v>1</v>
      </c>
      <c r="E18" s="4">
        <v>2146470638</v>
      </c>
      <c r="F18" s="82">
        <v>0</v>
      </c>
      <c r="G18" s="1">
        <v>0</v>
      </c>
      <c r="H18" s="1">
        <v>0</v>
      </c>
      <c r="I18" s="1">
        <v>0</v>
      </c>
      <c r="J18" s="4">
        <v>104217059</v>
      </c>
      <c r="K18" s="4">
        <v>339438621</v>
      </c>
      <c r="L18" s="4">
        <v>496000000</v>
      </c>
      <c r="M18" s="4">
        <v>771844264</v>
      </c>
      <c r="N18" s="4">
        <f t="shared" si="1"/>
        <v>1785876364.95</v>
      </c>
      <c r="O18" s="81">
        <f t="shared" si="2"/>
        <v>1785876364.95</v>
      </c>
      <c r="P18" s="81">
        <f t="shared" si="3"/>
        <v>1785876364.95</v>
      </c>
      <c r="Q18" s="80">
        <f t="shared" si="4"/>
        <v>1785876364.95</v>
      </c>
      <c r="S18" s="4"/>
      <c r="T18" s="4"/>
    </row>
    <row r="19" spans="1:20" ht="28.7" x14ac:dyDescent="0.5">
      <c r="A19" s="4">
        <v>17</v>
      </c>
      <c r="B19" s="21" t="s">
        <v>210</v>
      </c>
      <c r="C19" s="4">
        <v>4</v>
      </c>
      <c r="D19" s="4">
        <f t="shared" si="0"/>
        <v>0.75</v>
      </c>
      <c r="E19" s="1">
        <v>3763700580</v>
      </c>
      <c r="F19" s="1">
        <v>0</v>
      </c>
      <c r="G19" s="1">
        <v>0</v>
      </c>
      <c r="H19" s="1">
        <v>0</v>
      </c>
      <c r="I19" s="1">
        <v>0</v>
      </c>
      <c r="J19" s="4">
        <v>0</v>
      </c>
      <c r="K19" s="4">
        <v>0</v>
      </c>
      <c r="L19" s="1">
        <v>0</v>
      </c>
      <c r="M19" s="1">
        <v>2281988960</v>
      </c>
      <c r="N19" s="4">
        <f t="shared" si="1"/>
        <v>1711491720</v>
      </c>
      <c r="O19" s="81">
        <f t="shared" si="2"/>
        <v>1711491720</v>
      </c>
      <c r="P19" s="81">
        <f t="shared" si="3"/>
        <v>1711491720</v>
      </c>
      <c r="Q19" s="80">
        <f t="shared" si="4"/>
        <v>1711491720</v>
      </c>
      <c r="S19" s="1"/>
      <c r="T19" s="1"/>
    </row>
    <row r="20" spans="1:20" x14ac:dyDescent="0.5">
      <c r="A20" s="4"/>
      <c r="B20" s="1"/>
      <c r="C20" s="1"/>
      <c r="D20" s="1"/>
      <c r="E20" s="1"/>
      <c r="F20" s="1">
        <f t="shared" ref="F20:Q20" si="6">SUM(F3:F19)</f>
        <v>452977887</v>
      </c>
      <c r="G20" s="1">
        <f t="shared" si="6"/>
        <v>898372290.38999999</v>
      </c>
      <c r="H20" s="1">
        <f t="shared" si="6"/>
        <v>1053248025.51</v>
      </c>
      <c r="I20" s="1">
        <f t="shared" si="6"/>
        <v>1239169919.3199999</v>
      </c>
      <c r="J20" s="1">
        <f t="shared" si="6"/>
        <v>1518130456.2499998</v>
      </c>
      <c r="K20" s="1">
        <f t="shared" si="6"/>
        <v>1905851981.8800001</v>
      </c>
      <c r="L20" s="1">
        <f t="shared" si="6"/>
        <v>1020082078.03</v>
      </c>
      <c r="M20" s="1">
        <f t="shared" si="6"/>
        <v>3520437021</v>
      </c>
      <c r="N20" s="2">
        <f t="shared" si="6"/>
        <v>6048475498.977375</v>
      </c>
      <c r="O20" s="79">
        <f t="shared" si="6"/>
        <v>8371288966.9442492</v>
      </c>
      <c r="P20" s="79">
        <f t="shared" si="6"/>
        <v>8002752019.0290003</v>
      </c>
      <c r="Q20" s="79">
        <f t="shared" si="6"/>
        <v>8371288966.9442492</v>
      </c>
      <c r="S20" s="1"/>
      <c r="T20" s="1"/>
    </row>
    <row r="21" spans="1:20" x14ac:dyDescent="0.5">
      <c r="A21" s="1"/>
      <c r="B21" s="1"/>
      <c r="C21" s="1"/>
      <c r="D21" s="1"/>
      <c r="E21" s="1"/>
      <c r="F21" s="1"/>
      <c r="G21" s="1"/>
      <c r="H21" s="1"/>
      <c r="I21" s="1"/>
      <c r="J21" s="1"/>
      <c r="K21" s="1"/>
      <c r="L21" s="1"/>
      <c r="M21" s="1"/>
      <c r="N21" s="1">
        <f>N2*10</f>
        <v>5139700000</v>
      </c>
      <c r="O21" s="78">
        <v>15266000</v>
      </c>
      <c r="P21" s="78">
        <v>2246923500</v>
      </c>
      <c r="Q21" s="78">
        <v>2859706770</v>
      </c>
      <c r="S21" s="1"/>
      <c r="T21" s="1"/>
    </row>
    <row r="22" spans="1:20" x14ac:dyDescent="0.5">
      <c r="A22" s="1"/>
      <c r="B22" s="1"/>
      <c r="C22" s="1"/>
      <c r="D22" s="1"/>
      <c r="E22" s="1"/>
      <c r="F22" s="1"/>
      <c r="G22" s="1"/>
      <c r="H22" s="1"/>
      <c r="I22" s="1"/>
      <c r="J22" s="1"/>
      <c r="K22" s="1"/>
      <c r="L22" s="1"/>
      <c r="M22" s="1"/>
      <c r="N22" s="8" t="str">
        <f>IF(N20&gt;N21,"OK","FAIL")</f>
        <v>OK</v>
      </c>
      <c r="O22" s="77" t="str">
        <f>IF(O20&gt;O21,"OK","FAIL")</f>
        <v>OK</v>
      </c>
      <c r="P22" s="77" t="str">
        <f>IF(P20&gt;P21,"OK","FAIL")</f>
        <v>OK</v>
      </c>
      <c r="Q22" s="77" t="str">
        <f>IF(Q20&gt;Q21,"OK","FAIL")</f>
        <v>OK</v>
      </c>
      <c r="S22" s="1"/>
      <c r="T22"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B3D12-2F91-4392-8BCB-F33DED367571}">
  <dimension ref="A1:Z23"/>
  <sheetViews>
    <sheetView topLeftCell="A16" zoomScale="60" zoomScaleNormal="60" workbookViewId="0">
      <selection activeCell="O32" sqref="O32"/>
    </sheetView>
  </sheetViews>
  <sheetFormatPr defaultRowHeight="14.35" x14ac:dyDescent="0.5"/>
  <cols>
    <col min="2" max="2" width="15.41015625" bestFit="1" customWidth="1"/>
    <col min="3" max="3" width="10.9375" bestFit="1" customWidth="1"/>
    <col min="21" max="21" width="6.3515625" customWidth="1"/>
    <col min="22" max="22" width="4.9375" bestFit="1" customWidth="1"/>
    <col min="23" max="23" width="26.5859375" bestFit="1" customWidth="1"/>
  </cols>
  <sheetData>
    <row r="1" spans="1:24" x14ac:dyDescent="0.5">
      <c r="A1" t="s">
        <v>237</v>
      </c>
      <c r="B1" t="s">
        <v>265</v>
      </c>
      <c r="C1" t="s">
        <v>266</v>
      </c>
      <c r="V1" t="s">
        <v>237</v>
      </c>
      <c r="W1" t="s">
        <v>265</v>
      </c>
      <c r="X1" t="s">
        <v>266</v>
      </c>
    </row>
    <row r="2" spans="1:24" x14ac:dyDescent="0.5">
      <c r="A2">
        <v>1</v>
      </c>
      <c r="B2" t="s">
        <v>267</v>
      </c>
      <c r="C2" s="59">
        <f>'QUALIFICATION INFORMATION'!G36+'QUALIFICATION INFORMATION'!G38+'QUALIFICATION INFORMATION'!G39+'QUALIFICATION INFORMATION'!G40</f>
        <v>124.9669</v>
      </c>
      <c r="V2">
        <v>1</v>
      </c>
      <c r="W2" t="s">
        <v>268</v>
      </c>
      <c r="X2" s="59">
        <f>SUM('QUALIFICATION INFORMATION'!G23:G25,'QUALIFICATION INFORMATION'!G28:G35)</f>
        <v>358.34907809999999</v>
      </c>
    </row>
    <row r="3" spans="1:24" x14ac:dyDescent="0.5">
      <c r="A3">
        <v>2</v>
      </c>
      <c r="B3" t="s">
        <v>269</v>
      </c>
      <c r="C3" s="59">
        <f>'QUALIFICATION INFORMATION'!G37</f>
        <v>98.724100000000007</v>
      </c>
      <c r="V3">
        <v>2</v>
      </c>
      <c r="W3" t="s">
        <v>270</v>
      </c>
      <c r="X3" s="59">
        <f>'QUALIFICATION INFORMATION'!G26+'QUALIFICATION INFORMATION'!G27</f>
        <v>348.02480000000003</v>
      </c>
    </row>
    <row r="4" spans="1:24" x14ac:dyDescent="0.5">
      <c r="A4">
        <v>3</v>
      </c>
      <c r="B4" t="s">
        <v>271</v>
      </c>
      <c r="C4" s="59">
        <f>'QUALIFICATION INFORMATION'!G41</f>
        <v>38.566600000000001</v>
      </c>
      <c r="V4">
        <v>3</v>
      </c>
      <c r="W4" t="s">
        <v>272</v>
      </c>
      <c r="X4" s="59">
        <f>15.79+36.05+25.29+11.28+10.65+5.09+10.67+15.73+20.69+30.89+18.95+77.45+26.71+50.5+29.99+15</f>
        <v>400.72999999999996</v>
      </c>
    </row>
    <row r="5" spans="1:24" x14ac:dyDescent="0.5">
      <c r="A5">
        <v>4</v>
      </c>
      <c r="B5" t="s">
        <v>273</v>
      </c>
      <c r="C5" s="59">
        <f>14.85+49.05</f>
        <v>63.9</v>
      </c>
      <c r="V5">
        <v>4</v>
      </c>
      <c r="W5" t="s">
        <v>274</v>
      </c>
      <c r="X5" s="59">
        <v>26.35</v>
      </c>
    </row>
    <row r="6" spans="1:24" x14ac:dyDescent="0.5">
      <c r="B6" t="s">
        <v>275</v>
      </c>
      <c r="C6" s="62">
        <f>SUM(C2:C5)</f>
        <v>326.1576</v>
      </c>
      <c r="X6" s="62">
        <f>SUM(X2:X5)</f>
        <v>1133.4538780999999</v>
      </c>
    </row>
    <row r="19" spans="2:26" ht="43" x14ac:dyDescent="0.5">
      <c r="B19" s="3" t="s">
        <v>276</v>
      </c>
      <c r="C19" s="3" t="s">
        <v>277</v>
      </c>
      <c r="D19" s="3" t="s">
        <v>278</v>
      </c>
      <c r="E19" s="3" t="s">
        <v>279</v>
      </c>
      <c r="W19" s="21" t="s">
        <v>276</v>
      </c>
      <c r="X19" s="21" t="s">
        <v>277</v>
      </c>
      <c r="Y19" s="21" t="s">
        <v>278</v>
      </c>
      <c r="Z19" s="21" t="s">
        <v>279</v>
      </c>
    </row>
    <row r="20" spans="2:26" ht="43" x14ac:dyDescent="0.5">
      <c r="B20" s="3" t="s">
        <v>280</v>
      </c>
      <c r="C20" s="63">
        <f>'QUALIFICATION INFORMATION'!J64-'QUALIFICATION INFORMATION'!J62</f>
        <v>207.46770000000004</v>
      </c>
      <c r="D20" s="64">
        <f>'QUALIFICATION INFORMATION'!K64-'QUALIFICATION INFORMATION'!K62</f>
        <v>117.45159999999998</v>
      </c>
      <c r="E20" s="63">
        <f>C20-D20</f>
        <v>90.016100000000051</v>
      </c>
      <c r="W20" s="21" t="s">
        <v>482</v>
      </c>
      <c r="X20" s="65">
        <f>'QUALIFICATION INFORMATION'!J49+'QUALIFICATION INFORMATION'!J53+'QUALIFICATION INFORMATION'!J54</f>
        <v>270.3202</v>
      </c>
      <c r="Y20" s="65">
        <f>'QUALIFICATION INFORMATION'!K49+'QUALIFICATION INFORMATION'!K53+'QUALIFICATION INFORMATION'!K54</f>
        <v>236.15099999999998</v>
      </c>
      <c r="Z20" s="65">
        <f>X20-Y20</f>
        <v>34.169200000000018</v>
      </c>
    </row>
    <row r="21" spans="2:26" ht="57.35" x14ac:dyDescent="0.5">
      <c r="B21" s="3" t="s">
        <v>281</v>
      </c>
      <c r="C21" s="63">
        <f>'QUALIFICATION INFORMATION'!J62</f>
        <v>72.465599999999995</v>
      </c>
      <c r="D21" s="64">
        <f>'QUALIFICATION INFORMATION'!K62</f>
        <v>72.31</v>
      </c>
      <c r="E21" s="63">
        <f>C21-D21</f>
        <v>0.15559999999999263</v>
      </c>
      <c r="W21" s="4" t="s">
        <v>483</v>
      </c>
      <c r="X21" s="4">
        <f>'QUALIFICATION INFORMATION'!J51+'QUALIFICATION INFORMATION'!J52</f>
        <v>220.64429999999999</v>
      </c>
      <c r="Y21" s="4">
        <f>'QUALIFICATION INFORMATION'!K51+'QUALIFICATION INFORMATION'!K52</f>
        <v>167.2</v>
      </c>
      <c r="Z21" s="65">
        <f>X21-Y21</f>
        <v>53.444299999999998</v>
      </c>
    </row>
    <row r="22" spans="2:26" x14ac:dyDescent="0.5">
      <c r="C22" s="62">
        <f>SUM(C20:C21)</f>
        <v>279.93330000000003</v>
      </c>
      <c r="D22" s="62">
        <f>SUM(D20:D21)</f>
        <v>189.76159999999999</v>
      </c>
      <c r="E22" s="26">
        <f>SUM(E20:E21)</f>
        <v>90.171700000000044</v>
      </c>
      <c r="W22" s="21" t="s">
        <v>282</v>
      </c>
      <c r="X22" s="65">
        <f>'QUALIFICATION INFORMATION'!J50+'QUALIFICATION INFORMATION'!J55</f>
        <v>462.86400000000003</v>
      </c>
      <c r="Y22" s="65">
        <f>'QUALIFICATION INFORMATION'!K50+'QUALIFICATION INFORMATION'!K55</f>
        <v>339.56209999999999</v>
      </c>
      <c r="Z22" s="65">
        <f>X22-Y22</f>
        <v>123.30190000000005</v>
      </c>
    </row>
    <row r="23" spans="2:26" x14ac:dyDescent="0.5">
      <c r="W23" s="2"/>
      <c r="X23" s="66">
        <f>SUM(X20:X22)</f>
        <v>953.82850000000008</v>
      </c>
      <c r="Y23" s="66">
        <f>SUM(Y20:Y22)</f>
        <v>742.91309999999999</v>
      </c>
      <c r="Z23" s="288">
        <f>SUM(Z20:Z22)</f>
        <v>210.91540000000006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C265C-0ECB-4364-B860-A3A2817BEAC9}">
  <dimension ref="A1:G25"/>
  <sheetViews>
    <sheetView topLeftCell="A13" workbookViewId="0">
      <selection activeCell="A16" sqref="A16:G25"/>
    </sheetView>
  </sheetViews>
  <sheetFormatPr defaultRowHeight="14.35" x14ac:dyDescent="0.5"/>
  <cols>
    <col min="1" max="1" width="5.64453125" bestFit="1" customWidth="1"/>
    <col min="2" max="2" width="34.41015625" bestFit="1" customWidth="1"/>
    <col min="3" max="3" width="5.5859375" bestFit="1" customWidth="1"/>
    <col min="4" max="4" width="9.64453125" bestFit="1" customWidth="1"/>
    <col min="5" max="6" width="10.29296875" bestFit="1" customWidth="1"/>
    <col min="7" max="7" width="16.76171875" bestFit="1" customWidth="1"/>
  </cols>
  <sheetData>
    <row r="1" spans="1:7" x14ac:dyDescent="0.5">
      <c r="A1" s="292" t="s">
        <v>527</v>
      </c>
      <c r="B1" s="293"/>
      <c r="C1" s="293"/>
      <c r="D1" s="293"/>
      <c r="E1" s="293"/>
      <c r="F1" s="293"/>
      <c r="G1" s="293"/>
    </row>
    <row r="2" spans="1:7" ht="41" x14ac:dyDescent="0.5">
      <c r="A2" s="291" t="s">
        <v>484</v>
      </c>
      <c r="B2" s="291" t="s">
        <v>485</v>
      </c>
      <c r="C2" s="291" t="s">
        <v>486</v>
      </c>
      <c r="D2" s="291" t="s">
        <v>487</v>
      </c>
      <c r="E2" s="291" t="s">
        <v>488</v>
      </c>
      <c r="F2" s="291" t="s">
        <v>489</v>
      </c>
      <c r="G2" s="291" t="s">
        <v>19</v>
      </c>
    </row>
    <row r="3" spans="1:7" x14ac:dyDescent="0.5">
      <c r="A3" s="290">
        <v>1</v>
      </c>
      <c r="B3" s="289" t="s">
        <v>490</v>
      </c>
      <c r="C3" s="290" t="s">
        <v>491</v>
      </c>
      <c r="D3" s="290">
        <v>64500</v>
      </c>
      <c r="E3" s="290">
        <v>38925</v>
      </c>
      <c r="F3" s="290">
        <v>6500</v>
      </c>
      <c r="G3" s="290" t="s">
        <v>492</v>
      </c>
    </row>
    <row r="4" spans="1:7" x14ac:dyDescent="0.5">
      <c r="A4" s="290">
        <v>2</v>
      </c>
      <c r="B4" s="289" t="s">
        <v>493</v>
      </c>
      <c r="C4" s="290" t="s">
        <v>494</v>
      </c>
      <c r="D4" s="290">
        <v>61062</v>
      </c>
      <c r="E4" s="290">
        <v>24000</v>
      </c>
      <c r="F4" s="290">
        <v>2000</v>
      </c>
      <c r="G4" s="290" t="s">
        <v>495</v>
      </c>
    </row>
    <row r="5" spans="1:7" ht="28" x14ac:dyDescent="0.5">
      <c r="A5" s="290">
        <v>3</v>
      </c>
      <c r="B5" s="289" t="s">
        <v>496</v>
      </c>
      <c r="C5" s="290" t="s">
        <v>497</v>
      </c>
      <c r="D5" s="290">
        <v>4033</v>
      </c>
      <c r="E5" s="290">
        <v>1800</v>
      </c>
      <c r="F5" s="290">
        <v>150</v>
      </c>
      <c r="G5" s="290" t="s">
        <v>498</v>
      </c>
    </row>
    <row r="6" spans="1:7" x14ac:dyDescent="0.5">
      <c r="A6" s="290">
        <v>4</v>
      </c>
      <c r="B6" s="289" t="s">
        <v>499</v>
      </c>
      <c r="C6" s="290" t="s">
        <v>497</v>
      </c>
      <c r="D6" s="290">
        <v>2001</v>
      </c>
      <c r="E6" s="290">
        <v>2001</v>
      </c>
      <c r="F6" s="290">
        <v>350</v>
      </c>
      <c r="G6" s="290" t="s">
        <v>474</v>
      </c>
    </row>
    <row r="7" spans="1:7" x14ac:dyDescent="0.5">
      <c r="A7" s="290">
        <v>5</v>
      </c>
      <c r="B7" s="289" t="s">
        <v>500</v>
      </c>
      <c r="C7" s="290" t="s">
        <v>497</v>
      </c>
      <c r="D7" s="290">
        <v>115</v>
      </c>
      <c r="E7" s="290">
        <v>115</v>
      </c>
      <c r="F7" s="290">
        <v>25</v>
      </c>
      <c r="G7" s="290" t="s">
        <v>474</v>
      </c>
    </row>
    <row r="8" spans="1:7" x14ac:dyDescent="0.5">
      <c r="A8" s="290">
        <v>6</v>
      </c>
      <c r="B8" s="289" t="s">
        <v>501</v>
      </c>
      <c r="C8" s="290" t="s">
        <v>497</v>
      </c>
      <c r="D8" s="290">
        <v>106</v>
      </c>
      <c r="E8" s="290">
        <v>106</v>
      </c>
      <c r="F8" s="290">
        <v>106</v>
      </c>
      <c r="G8" s="290" t="s">
        <v>474</v>
      </c>
    </row>
    <row r="9" spans="1:7" x14ac:dyDescent="0.5">
      <c r="A9" s="290">
        <v>7</v>
      </c>
      <c r="B9" s="289" t="s">
        <v>502</v>
      </c>
      <c r="C9" s="290" t="s">
        <v>497</v>
      </c>
      <c r="D9" s="290">
        <v>1436</v>
      </c>
      <c r="E9" s="290">
        <v>1436</v>
      </c>
      <c r="F9" s="290">
        <v>150</v>
      </c>
      <c r="G9" s="290" t="s">
        <v>474</v>
      </c>
    </row>
    <row r="10" spans="1:7" x14ac:dyDescent="0.5">
      <c r="A10" s="290">
        <v>8</v>
      </c>
      <c r="B10" s="289" t="s">
        <v>503</v>
      </c>
      <c r="C10" s="290" t="s">
        <v>497</v>
      </c>
      <c r="D10" s="290">
        <v>254.4</v>
      </c>
      <c r="E10" s="290">
        <v>254.4</v>
      </c>
      <c r="F10" s="290">
        <v>45</v>
      </c>
      <c r="G10" s="290" t="s">
        <v>474</v>
      </c>
    </row>
    <row r="11" spans="1:7" x14ac:dyDescent="0.5">
      <c r="A11" s="290">
        <v>9</v>
      </c>
      <c r="B11" s="289" t="s">
        <v>504</v>
      </c>
      <c r="C11" s="290" t="s">
        <v>505</v>
      </c>
      <c r="D11" s="290">
        <v>1275</v>
      </c>
      <c r="E11" s="290">
        <v>1275</v>
      </c>
      <c r="F11" s="290">
        <v>600</v>
      </c>
      <c r="G11" s="290" t="s">
        <v>474</v>
      </c>
    </row>
    <row r="12" spans="1:7" x14ac:dyDescent="0.5">
      <c r="A12" s="290">
        <v>9</v>
      </c>
      <c r="B12" s="289" t="s">
        <v>506</v>
      </c>
      <c r="C12" s="290" t="s">
        <v>505</v>
      </c>
      <c r="D12" s="290">
        <v>232724</v>
      </c>
      <c r="E12" s="290">
        <v>90100</v>
      </c>
      <c r="F12" s="290">
        <v>6000</v>
      </c>
      <c r="G12" s="290" t="s">
        <v>507</v>
      </c>
    </row>
    <row r="13" spans="1:7" x14ac:dyDescent="0.5">
      <c r="A13" s="290">
        <v>10</v>
      </c>
      <c r="B13" s="289" t="s">
        <v>508</v>
      </c>
      <c r="C13" s="290" t="s">
        <v>509</v>
      </c>
      <c r="D13" s="290">
        <v>235764</v>
      </c>
      <c r="E13" s="290">
        <v>95132</v>
      </c>
      <c r="F13" s="290">
        <v>6350</v>
      </c>
      <c r="G13" s="290" t="s">
        <v>507</v>
      </c>
    </row>
    <row r="14" spans="1:7" x14ac:dyDescent="0.5">
      <c r="A14" s="290">
        <v>11</v>
      </c>
      <c r="B14" s="289" t="s">
        <v>510</v>
      </c>
      <c r="C14" s="290" t="s">
        <v>497</v>
      </c>
      <c r="D14" s="290">
        <v>900</v>
      </c>
      <c r="E14" s="290">
        <v>900</v>
      </c>
      <c r="F14" s="290">
        <v>450</v>
      </c>
      <c r="G14" s="290" t="s">
        <v>474</v>
      </c>
    </row>
    <row r="16" spans="1:7" x14ac:dyDescent="0.5">
      <c r="A16" s="292" t="s">
        <v>526</v>
      </c>
      <c r="B16" s="292"/>
      <c r="C16" s="292"/>
      <c r="D16" s="292"/>
      <c r="E16" s="292"/>
      <c r="F16" s="292"/>
      <c r="G16" s="292"/>
    </row>
    <row r="17" spans="1:7" ht="54.7" x14ac:dyDescent="0.5">
      <c r="A17" s="291" t="s">
        <v>484</v>
      </c>
      <c r="B17" s="291" t="s">
        <v>485</v>
      </c>
      <c r="C17" s="291" t="s">
        <v>486</v>
      </c>
      <c r="D17" s="291" t="s">
        <v>511</v>
      </c>
      <c r="E17" s="291" t="s">
        <v>512</v>
      </c>
      <c r="F17" s="291" t="s">
        <v>513</v>
      </c>
      <c r="G17" s="291" t="s">
        <v>19</v>
      </c>
    </row>
    <row r="18" spans="1:7" x14ac:dyDescent="0.5">
      <c r="A18" s="290">
        <v>1</v>
      </c>
      <c r="B18" s="289" t="s">
        <v>514</v>
      </c>
      <c r="C18" s="290" t="s">
        <v>494</v>
      </c>
      <c r="D18" s="290">
        <v>5655060</v>
      </c>
      <c r="E18" s="290">
        <v>1851375</v>
      </c>
      <c r="F18" s="290">
        <v>231421</v>
      </c>
      <c r="G18" s="290" t="s">
        <v>515</v>
      </c>
    </row>
    <row r="19" spans="1:7" x14ac:dyDescent="0.5">
      <c r="A19" s="290">
        <v>2</v>
      </c>
      <c r="B19" s="289" t="s">
        <v>493</v>
      </c>
      <c r="C19" s="290" t="s">
        <v>494</v>
      </c>
      <c r="D19" s="290">
        <v>207121</v>
      </c>
      <c r="E19" s="290">
        <v>53917</v>
      </c>
      <c r="F19" s="290">
        <v>6750</v>
      </c>
      <c r="G19" s="290" t="s">
        <v>515</v>
      </c>
    </row>
    <row r="20" spans="1:7" x14ac:dyDescent="0.5">
      <c r="A20" s="290">
        <v>3</v>
      </c>
      <c r="B20" s="289" t="s">
        <v>516</v>
      </c>
      <c r="C20" s="290" t="s">
        <v>497</v>
      </c>
      <c r="D20" s="290">
        <v>5607</v>
      </c>
      <c r="E20" s="290">
        <v>1656</v>
      </c>
      <c r="F20" s="290">
        <v>207</v>
      </c>
      <c r="G20" s="290" t="s">
        <v>517</v>
      </c>
    </row>
    <row r="21" spans="1:7" x14ac:dyDescent="0.5">
      <c r="A21" s="290">
        <v>4</v>
      </c>
      <c r="B21" s="289" t="s">
        <v>518</v>
      </c>
      <c r="C21" s="290" t="s">
        <v>494</v>
      </c>
      <c r="D21" s="290">
        <v>445624</v>
      </c>
      <c r="E21" s="290">
        <v>116969</v>
      </c>
      <c r="F21" s="290">
        <v>13953</v>
      </c>
      <c r="G21" s="290" t="s">
        <v>519</v>
      </c>
    </row>
    <row r="22" spans="1:7" x14ac:dyDescent="0.5">
      <c r="A22" s="290">
        <v>5</v>
      </c>
      <c r="B22" s="289" t="s">
        <v>520</v>
      </c>
      <c r="C22" s="290" t="s">
        <v>494</v>
      </c>
      <c r="D22" s="290">
        <v>75038</v>
      </c>
      <c r="E22" s="290">
        <v>22457</v>
      </c>
      <c r="F22" s="290">
        <v>2807</v>
      </c>
      <c r="G22" s="290" t="s">
        <v>521</v>
      </c>
    </row>
    <row r="23" spans="1:7" x14ac:dyDescent="0.5">
      <c r="A23" s="290">
        <v>6</v>
      </c>
      <c r="B23" s="289" t="s">
        <v>522</v>
      </c>
      <c r="C23" s="290" t="s">
        <v>494</v>
      </c>
      <c r="D23" s="290">
        <v>19063</v>
      </c>
      <c r="E23" s="290">
        <v>10568</v>
      </c>
      <c r="F23" s="290">
        <v>1321</v>
      </c>
      <c r="G23" s="290" t="s">
        <v>515</v>
      </c>
    </row>
    <row r="24" spans="1:7" x14ac:dyDescent="0.5">
      <c r="A24" s="290">
        <v>7</v>
      </c>
      <c r="B24" s="289" t="s">
        <v>523</v>
      </c>
      <c r="C24" s="290" t="s">
        <v>524</v>
      </c>
      <c r="D24" s="290">
        <v>10631</v>
      </c>
      <c r="E24" s="290">
        <v>9341</v>
      </c>
      <c r="F24" s="290">
        <v>1168</v>
      </c>
      <c r="G24" s="290" t="s">
        <v>521</v>
      </c>
    </row>
    <row r="25" spans="1:7" x14ac:dyDescent="0.5">
      <c r="A25" s="290">
        <v>8</v>
      </c>
      <c r="B25" s="289" t="s">
        <v>525</v>
      </c>
      <c r="C25" s="290" t="s">
        <v>524</v>
      </c>
      <c r="D25" s="290">
        <v>12414</v>
      </c>
      <c r="E25" s="290">
        <v>8330</v>
      </c>
      <c r="F25" s="290">
        <v>1980</v>
      </c>
      <c r="G25" s="290" t="s">
        <v>521</v>
      </c>
    </row>
  </sheetData>
  <mergeCells count="2">
    <mergeCell ref="A16:G16"/>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6A0A-6E31-443E-870F-8B3FA6ACF987}">
  <dimension ref="A1:G20"/>
  <sheetViews>
    <sheetView tabSelected="1" topLeftCell="A9" workbookViewId="0">
      <selection activeCell="A19" sqref="A19"/>
    </sheetView>
  </sheetViews>
  <sheetFormatPr defaultRowHeight="14.35" x14ac:dyDescent="0.5"/>
  <sheetData>
    <row r="1" spans="1:7" ht="14.7" thickBot="1" x14ac:dyDescent="0.55000000000000004">
      <c r="A1" s="224" t="s">
        <v>283</v>
      </c>
      <c r="B1" s="224"/>
      <c r="C1" s="224"/>
      <c r="D1" s="224"/>
      <c r="E1" s="224"/>
      <c r="F1" s="224"/>
      <c r="G1" s="225"/>
    </row>
    <row r="2" spans="1:7" ht="14.7" thickBot="1" x14ac:dyDescent="0.55000000000000004">
      <c r="A2" s="67" t="s">
        <v>284</v>
      </c>
      <c r="B2" s="67" t="s">
        <v>285</v>
      </c>
      <c r="C2" s="67" t="s">
        <v>286</v>
      </c>
      <c r="D2" s="67" t="s">
        <v>287</v>
      </c>
      <c r="E2" s="67" t="s">
        <v>288</v>
      </c>
      <c r="F2" s="67" t="s">
        <v>299</v>
      </c>
      <c r="G2" s="67" t="s">
        <v>300</v>
      </c>
    </row>
    <row r="3" spans="1:7" ht="14.7" thickBot="1" x14ac:dyDescent="0.55000000000000004">
      <c r="A3" s="68">
        <v>3947.68</v>
      </c>
      <c r="B3" s="68">
        <v>5859.67</v>
      </c>
      <c r="C3" s="68">
        <v>7814.9</v>
      </c>
      <c r="D3" s="68">
        <v>9675.5</v>
      </c>
      <c r="E3" s="68">
        <v>11908.1</v>
      </c>
      <c r="F3" s="68">
        <v>13911.4</v>
      </c>
      <c r="G3" s="68">
        <v>17041.900000000001</v>
      </c>
    </row>
    <row r="17" spans="1:7" ht="14.7" thickBot="1" x14ac:dyDescent="0.55000000000000004"/>
    <row r="18" spans="1:7" ht="14.7" thickBot="1" x14ac:dyDescent="0.55000000000000004">
      <c r="A18" s="224" t="s">
        <v>354</v>
      </c>
      <c r="B18" s="224"/>
      <c r="C18" s="224"/>
      <c r="D18" s="224"/>
      <c r="E18" s="224"/>
      <c r="F18" s="224"/>
      <c r="G18" s="225"/>
    </row>
    <row r="19" spans="1:7" ht="14.7" thickBot="1" x14ac:dyDescent="0.55000000000000004">
      <c r="A19" s="307" t="s">
        <v>284</v>
      </c>
      <c r="B19" s="307" t="s">
        <v>285</v>
      </c>
      <c r="C19" s="307" t="s">
        <v>286</v>
      </c>
      <c r="D19" s="307" t="s">
        <v>287</v>
      </c>
      <c r="E19" s="307" t="s">
        <v>288</v>
      </c>
      <c r="F19" s="307" t="s">
        <v>299</v>
      </c>
      <c r="G19" s="307" t="s">
        <v>300</v>
      </c>
    </row>
    <row r="20" spans="1:7" ht="14.7" thickBot="1" x14ac:dyDescent="0.55000000000000004">
      <c r="A20" s="68">
        <v>20972.9</v>
      </c>
      <c r="B20" s="68">
        <v>20581.7</v>
      </c>
      <c r="C20" s="164">
        <v>17341</v>
      </c>
      <c r="D20" s="68">
        <v>20210.8</v>
      </c>
      <c r="E20" s="68">
        <v>22572.799999999999</v>
      </c>
      <c r="F20" s="68">
        <v>22643.200000000001</v>
      </c>
      <c r="G20" s="68">
        <v>31260.9</v>
      </c>
    </row>
  </sheetData>
  <mergeCells count="2">
    <mergeCell ref="A1:G1"/>
    <mergeCell ref="A18:G1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A9DE0-DF6B-4C2B-A1F8-EBCB76467448}">
  <sheetPr>
    <tabColor rgb="FF00B0F0"/>
    <pageSetUpPr fitToPage="1"/>
  </sheetPr>
  <dimension ref="A1:AG80"/>
  <sheetViews>
    <sheetView zoomScale="50" zoomScaleNormal="50" workbookViewId="0">
      <pane xSplit="3" ySplit="4" topLeftCell="D61" activePane="bottomRight" state="frozen"/>
      <selection pane="topRight" activeCell="D1" sqref="D1"/>
      <selection pane="bottomLeft" activeCell="A5" sqref="A5"/>
      <selection pane="bottomRight" activeCell="H63" sqref="H63"/>
    </sheetView>
  </sheetViews>
  <sheetFormatPr defaultRowHeight="14.35" outlineLevelRow="1" outlineLevelCol="1" x14ac:dyDescent="0.5"/>
  <cols>
    <col min="1" max="1" width="21.41015625" customWidth="1"/>
    <col min="2" max="2" width="70.64453125" customWidth="1"/>
    <col min="3" max="3" width="21.41015625" customWidth="1"/>
    <col min="4" max="4" width="14.52734375" bestFit="1" customWidth="1"/>
    <col min="5" max="5" width="8.3515625" customWidth="1" outlineLevel="1"/>
    <col min="6" max="6" width="11.1171875" customWidth="1"/>
    <col min="7" max="7" width="9.1171875" customWidth="1" outlineLevel="1"/>
    <col min="8" max="8" width="13.64453125" customWidth="1"/>
    <col min="9" max="9" width="10.1171875" customWidth="1" outlineLevel="1"/>
    <col min="10" max="10" width="9.41015625" customWidth="1"/>
    <col min="11" max="11" width="10.41015625" customWidth="1" outlineLevel="1"/>
    <col min="12" max="12" width="8.87890625" customWidth="1" outlineLevel="1"/>
    <col min="13" max="13" width="10.3515625" customWidth="1" outlineLevel="1"/>
    <col min="14" max="14" width="12.87890625" customWidth="1"/>
    <col min="15" max="15" width="10.234375" customWidth="1" outlineLevel="1"/>
    <col min="16" max="16" width="9.1171875" customWidth="1" outlineLevel="1"/>
    <col min="17" max="18" width="10.234375" customWidth="1" outlineLevel="1"/>
    <col min="19" max="19" width="13.3515625" customWidth="1"/>
    <col min="20" max="20" width="12.87890625" customWidth="1" outlineLevel="1" collapsed="1"/>
    <col min="21" max="21" width="10.87890625" customWidth="1" outlineLevel="1"/>
    <col min="22" max="22" width="12.41015625" customWidth="1"/>
    <col min="23" max="23" width="11.703125" bestFit="1" customWidth="1"/>
    <col min="24" max="24" width="10.05859375" bestFit="1" customWidth="1"/>
    <col min="25" max="25" width="11" customWidth="1"/>
    <col min="26" max="27" width="12.41015625" customWidth="1" outlineLevel="1"/>
    <col min="28" max="28" width="21.1171875" customWidth="1" outlineLevel="1"/>
    <col min="29" max="29" width="41" customWidth="1"/>
    <col min="30" max="30" width="23.41015625" style="11" bestFit="1" customWidth="1"/>
    <col min="31" max="31" width="47.703125" bestFit="1" customWidth="1"/>
    <col min="32" max="247" width="21.41015625" customWidth="1"/>
  </cols>
  <sheetData>
    <row r="1" spans="1:31" ht="61.85" customHeight="1" x14ac:dyDescent="0.5">
      <c r="A1" s="226" t="s">
        <v>365</v>
      </c>
      <c r="B1" s="227"/>
      <c r="C1" s="227"/>
      <c r="D1" s="227"/>
      <c r="E1" s="227"/>
      <c r="F1" s="227"/>
      <c r="G1" s="227"/>
      <c r="H1" s="227"/>
      <c r="I1" s="227"/>
      <c r="J1" s="227"/>
      <c r="K1" s="227"/>
      <c r="L1" s="227"/>
      <c r="M1" s="227"/>
      <c r="N1" s="227"/>
      <c r="O1" s="227"/>
      <c r="P1" s="227"/>
      <c r="Q1" s="227"/>
      <c r="R1" s="227"/>
      <c r="S1" s="227"/>
      <c r="T1" s="227"/>
      <c r="U1" s="227"/>
      <c r="V1" s="227"/>
      <c r="W1" s="227"/>
      <c r="X1" s="227"/>
      <c r="Y1" s="227"/>
      <c r="Z1" s="227"/>
      <c r="AA1" s="227"/>
      <c r="AB1" s="227"/>
      <c r="AC1" s="227"/>
      <c r="AD1" s="228"/>
    </row>
    <row r="2" spans="1:31" ht="15.6" customHeight="1" x14ac:dyDescent="0.5">
      <c r="A2" s="229" t="s">
        <v>366</v>
      </c>
      <c r="B2" s="229"/>
      <c r="C2" s="229"/>
      <c r="D2" s="230" t="s">
        <v>2</v>
      </c>
      <c r="E2" s="231"/>
      <c r="F2" s="231"/>
      <c r="G2" s="231"/>
      <c r="H2" s="231"/>
      <c r="I2" s="231"/>
      <c r="J2" s="231"/>
      <c r="K2" s="231"/>
      <c r="L2" s="231"/>
      <c r="M2" s="231"/>
      <c r="N2" s="231"/>
      <c r="O2" s="231"/>
      <c r="P2" s="231"/>
      <c r="Q2" s="231"/>
      <c r="R2" s="231"/>
      <c r="S2" s="231"/>
      <c r="T2" s="231"/>
      <c r="U2" s="231"/>
      <c r="V2" s="231"/>
      <c r="W2" s="231"/>
      <c r="X2" s="231"/>
      <c r="Y2" s="231"/>
      <c r="Z2" s="231"/>
      <c r="AA2" s="231"/>
      <c r="AB2" s="231"/>
      <c r="AC2" s="231"/>
      <c r="AD2" s="232"/>
    </row>
    <row r="3" spans="1:31" ht="15.6" customHeight="1" x14ac:dyDescent="0.5">
      <c r="A3" s="233" t="s">
        <v>367</v>
      </c>
      <c r="B3" s="233" t="s">
        <v>368</v>
      </c>
      <c r="C3" s="233" t="s">
        <v>369</v>
      </c>
      <c r="D3" s="226"/>
      <c r="E3" s="227"/>
      <c r="F3" s="227"/>
      <c r="G3" s="227"/>
      <c r="H3" s="227"/>
      <c r="I3" s="227"/>
      <c r="J3" s="227"/>
      <c r="K3" s="227"/>
      <c r="L3" s="227"/>
      <c r="M3" s="227"/>
      <c r="N3" s="227"/>
      <c r="O3" s="227"/>
      <c r="P3" s="227"/>
      <c r="Q3" s="227"/>
      <c r="R3" s="227"/>
      <c r="S3" s="228"/>
      <c r="T3" s="234"/>
      <c r="U3" s="234"/>
      <c r="V3" s="234"/>
      <c r="W3" s="234"/>
      <c r="X3" s="234"/>
      <c r="Y3" s="234"/>
      <c r="Z3" s="234"/>
      <c r="AA3" s="234"/>
      <c r="AB3" s="234"/>
      <c r="AC3" s="234"/>
      <c r="AD3" s="235"/>
    </row>
    <row r="4" spans="1:31" ht="74.45" customHeight="1" x14ac:dyDescent="0.5">
      <c r="A4" s="236"/>
      <c r="B4" s="236"/>
      <c r="C4" s="236"/>
      <c r="D4" s="237" t="s">
        <v>370</v>
      </c>
      <c r="E4" s="237" t="s">
        <v>371</v>
      </c>
      <c r="F4" s="234" t="s">
        <v>372</v>
      </c>
      <c r="G4" s="234" t="s">
        <v>373</v>
      </c>
      <c r="H4" s="234" t="s">
        <v>374</v>
      </c>
      <c r="I4" s="234" t="s">
        <v>375</v>
      </c>
      <c r="J4" s="234" t="s">
        <v>376</v>
      </c>
      <c r="K4" s="234" t="s">
        <v>377</v>
      </c>
      <c r="L4" s="234" t="s">
        <v>378</v>
      </c>
      <c r="M4" s="234" t="s">
        <v>379</v>
      </c>
      <c r="N4" s="234" t="s">
        <v>380</v>
      </c>
      <c r="O4" s="234" t="s">
        <v>381</v>
      </c>
      <c r="P4" s="234" t="s">
        <v>382</v>
      </c>
      <c r="Q4" s="234" t="s">
        <v>383</v>
      </c>
      <c r="R4" s="234" t="s">
        <v>384</v>
      </c>
      <c r="S4" s="234" t="s">
        <v>385</v>
      </c>
      <c r="T4" s="234" t="s">
        <v>386</v>
      </c>
      <c r="U4" s="234" t="s">
        <v>387</v>
      </c>
      <c r="V4" s="234" t="s">
        <v>388</v>
      </c>
      <c r="W4" s="234" t="s">
        <v>389</v>
      </c>
      <c r="X4" s="234" t="s">
        <v>390</v>
      </c>
      <c r="Y4" s="234" t="s">
        <v>391</v>
      </c>
      <c r="Z4" s="234" t="s">
        <v>392</v>
      </c>
      <c r="AA4" s="234" t="s">
        <v>393</v>
      </c>
      <c r="AB4" s="234" t="s">
        <v>394</v>
      </c>
      <c r="AC4" s="234" t="s">
        <v>395</v>
      </c>
      <c r="AD4" s="234" t="s">
        <v>396</v>
      </c>
    </row>
    <row r="5" spans="1:31" s="244" customFormat="1" ht="38" outlineLevel="1" x14ac:dyDescent="0.5">
      <c r="A5" s="238" t="s">
        <v>99</v>
      </c>
      <c r="B5" s="239" t="s">
        <v>69</v>
      </c>
      <c r="C5" s="239" t="s">
        <v>70</v>
      </c>
      <c r="D5" s="240">
        <f>15798.085*(27.5%+69.7%)</f>
        <v>15355.73862</v>
      </c>
      <c r="E5" s="241"/>
      <c r="F5" s="241"/>
      <c r="G5" s="241"/>
      <c r="H5" s="240">
        <f>544833.419*(27.5%+69.7%)</f>
        <v>529578.08326800005</v>
      </c>
      <c r="I5" s="240">
        <f>16430.994*(27.5%+69.7%)</f>
        <v>15970.926168</v>
      </c>
      <c r="J5" s="241"/>
      <c r="K5" s="240">
        <f>24451.325*(27.5%+69.7%)</f>
        <v>23766.687900000004</v>
      </c>
      <c r="L5" s="241"/>
      <c r="M5" s="241"/>
      <c r="N5" s="240">
        <f t="shared" ref="N5:N18" si="0">K5+L5+M5</f>
        <v>23766.687900000004</v>
      </c>
      <c r="O5" s="241"/>
      <c r="P5" s="241"/>
      <c r="Q5" s="241"/>
      <c r="R5" s="241"/>
      <c r="S5" s="241">
        <f>O5+P5+Q5+R5</f>
        <v>0</v>
      </c>
      <c r="T5" s="241"/>
      <c r="U5" s="241"/>
      <c r="V5" s="242">
        <f>4953.09*(27.5%+69.7%)</f>
        <v>4814.4034800000009</v>
      </c>
      <c r="W5" s="241"/>
      <c r="X5" s="241"/>
      <c r="Y5" s="241"/>
      <c r="Z5" s="241"/>
      <c r="AA5" s="241"/>
      <c r="AB5" s="241"/>
      <c r="AC5" s="238" t="s">
        <v>397</v>
      </c>
      <c r="AD5" s="243" t="s">
        <v>398</v>
      </c>
    </row>
    <row r="6" spans="1:31" ht="38" outlineLevel="1" x14ac:dyDescent="0.5">
      <c r="A6" s="238" t="s">
        <v>99</v>
      </c>
      <c r="B6" s="239" t="s">
        <v>183</v>
      </c>
      <c r="C6" s="239" t="s">
        <v>184</v>
      </c>
      <c r="D6" s="240">
        <f>3788.52+2198.16</f>
        <v>5986.68</v>
      </c>
      <c r="E6" s="245"/>
      <c r="F6" s="245"/>
      <c r="G6" s="245"/>
      <c r="H6" s="240">
        <v>543468</v>
      </c>
      <c r="I6" s="245"/>
      <c r="J6" s="245"/>
      <c r="K6" s="245"/>
      <c r="L6" s="245"/>
      <c r="M6" s="245"/>
      <c r="N6" s="241">
        <f t="shared" si="0"/>
        <v>0</v>
      </c>
      <c r="O6" s="245"/>
      <c r="P6" s="245"/>
      <c r="Q6" s="245"/>
      <c r="R6" s="245"/>
      <c r="S6" s="241">
        <f t="shared" ref="S6:S67" si="1">O6+P6+Q6+R6</f>
        <v>0</v>
      </c>
      <c r="T6" s="245"/>
      <c r="U6" s="245"/>
      <c r="V6" s="245"/>
      <c r="W6" s="245"/>
      <c r="X6" s="245"/>
      <c r="Y6" s="245"/>
      <c r="Z6" s="245"/>
      <c r="AA6" s="245"/>
      <c r="AB6" s="245"/>
      <c r="AC6" s="238" t="s">
        <v>185</v>
      </c>
      <c r="AD6" s="243" t="e">
        <f>#REF!</f>
        <v>#REF!</v>
      </c>
      <c r="AE6" t="s">
        <v>399</v>
      </c>
    </row>
    <row r="7" spans="1:31" s="244" customFormat="1" ht="38" outlineLevel="1" x14ac:dyDescent="0.5">
      <c r="A7" s="238" t="s">
        <v>99</v>
      </c>
      <c r="B7" s="239" t="s">
        <v>400</v>
      </c>
      <c r="C7" s="239" t="s">
        <v>401</v>
      </c>
      <c r="D7" s="240">
        <v>2915.45</v>
      </c>
      <c r="E7" s="241"/>
      <c r="F7" s="240">
        <v>178.34</v>
      </c>
      <c r="G7" s="241"/>
      <c r="H7" s="240">
        <v>49521.59</v>
      </c>
      <c r="I7" s="241"/>
      <c r="J7" s="241"/>
      <c r="K7" s="241"/>
      <c r="L7" s="241"/>
      <c r="M7" s="241"/>
      <c r="N7" s="241">
        <f t="shared" si="0"/>
        <v>0</v>
      </c>
      <c r="O7" s="241"/>
      <c r="P7" s="241"/>
      <c r="Q7" s="241"/>
      <c r="R7" s="241"/>
      <c r="S7" s="241">
        <f t="shared" si="1"/>
        <v>0</v>
      </c>
      <c r="T7" s="241"/>
      <c r="U7" s="241"/>
      <c r="V7" s="241"/>
      <c r="W7" s="241"/>
      <c r="X7" s="241"/>
      <c r="Y7" s="241"/>
      <c r="Z7" s="241"/>
      <c r="AA7" s="241"/>
      <c r="AB7" s="241"/>
      <c r="AC7" s="238" t="s">
        <v>402</v>
      </c>
      <c r="AD7" s="243" t="e">
        <f>#REF!</f>
        <v>#REF!</v>
      </c>
      <c r="AE7" t="s">
        <v>403</v>
      </c>
    </row>
    <row r="8" spans="1:31" ht="25.35" outlineLevel="1" x14ac:dyDescent="0.5">
      <c r="A8" s="238" t="s">
        <v>99</v>
      </c>
      <c r="B8" s="239" t="s">
        <v>77</v>
      </c>
      <c r="C8" s="239" t="s">
        <v>78</v>
      </c>
      <c r="D8" s="240">
        <f>2660.875+1064.7+683.0365</f>
        <v>4408.6115</v>
      </c>
      <c r="E8" s="241"/>
      <c r="F8" s="241"/>
      <c r="G8" s="241"/>
      <c r="H8" s="240">
        <v>27506.494999999999</v>
      </c>
      <c r="I8" s="246">
        <f>148.5</f>
        <v>148.5</v>
      </c>
      <c r="J8" s="246">
        <f>990</f>
        <v>990</v>
      </c>
      <c r="K8" s="240">
        <v>3243.15</v>
      </c>
      <c r="L8" s="241"/>
      <c r="M8" s="240">
        <v>11110.662</v>
      </c>
      <c r="N8" s="241">
        <f t="shared" si="0"/>
        <v>14353.812</v>
      </c>
      <c r="O8" s="241"/>
      <c r="P8" s="241"/>
      <c r="Q8" s="240">
        <v>2731.0729999999999</v>
      </c>
      <c r="R8" s="240">
        <v>1373.934</v>
      </c>
      <c r="S8" s="241">
        <f t="shared" si="1"/>
        <v>4105.0069999999996</v>
      </c>
      <c r="T8" s="246">
        <f>15.66</f>
        <v>15.66</v>
      </c>
      <c r="U8" s="241"/>
      <c r="V8" s="241"/>
      <c r="W8" s="241"/>
      <c r="X8" s="241"/>
      <c r="Y8" s="241"/>
      <c r="Z8" s="241"/>
      <c r="AA8" s="241"/>
      <c r="AB8" s="241">
        <v>48597927</v>
      </c>
      <c r="AC8" s="238" t="s">
        <v>80</v>
      </c>
      <c r="AD8" s="243" t="e">
        <f>#REF!</f>
        <v>#REF!</v>
      </c>
      <c r="AE8" t="s">
        <v>404</v>
      </c>
    </row>
    <row r="9" spans="1:31" s="244" customFormat="1" ht="38" outlineLevel="1" x14ac:dyDescent="0.5">
      <c r="A9" s="238" t="s">
        <v>99</v>
      </c>
      <c r="B9" s="239" t="s">
        <v>113</v>
      </c>
      <c r="C9" s="239" t="s">
        <v>78</v>
      </c>
      <c r="D9" s="240">
        <f>2293.41+304.15</f>
        <v>2597.56</v>
      </c>
      <c r="E9" s="241"/>
      <c r="F9" s="241"/>
      <c r="G9" s="241"/>
      <c r="H9" s="240">
        <v>13126.96</v>
      </c>
      <c r="I9" s="241"/>
      <c r="J9" s="241"/>
      <c r="K9" s="240">
        <v>6498.44</v>
      </c>
      <c r="L9" s="241"/>
      <c r="M9" s="240">
        <v>5635.29</v>
      </c>
      <c r="N9" s="241">
        <f t="shared" si="0"/>
        <v>12133.73</v>
      </c>
      <c r="O9" s="241"/>
      <c r="P9" s="241"/>
      <c r="Q9" s="241"/>
      <c r="R9" s="241"/>
      <c r="S9" s="241">
        <f t="shared" si="1"/>
        <v>0</v>
      </c>
      <c r="T9" s="241"/>
      <c r="U9" s="241"/>
      <c r="V9" s="241"/>
      <c r="W9" s="241"/>
      <c r="X9" s="241"/>
      <c r="Y9" s="241"/>
      <c r="Z9" s="241"/>
      <c r="AA9" s="241"/>
      <c r="AB9" s="241"/>
      <c r="AC9" s="16" t="s">
        <v>114</v>
      </c>
      <c r="AD9" s="243" t="s">
        <v>405</v>
      </c>
      <c r="AE9" t="s">
        <v>406</v>
      </c>
    </row>
    <row r="10" spans="1:31" s="244" customFormat="1" ht="38" outlineLevel="1" x14ac:dyDescent="0.5">
      <c r="A10" s="238" t="s">
        <v>99</v>
      </c>
      <c r="B10" s="239" t="s">
        <v>100</v>
      </c>
      <c r="C10" s="247" t="s">
        <v>101</v>
      </c>
      <c r="D10" s="240">
        <f>196.85+78.75</f>
        <v>275.60000000000002</v>
      </c>
      <c r="E10" s="241"/>
      <c r="F10" s="241"/>
      <c r="G10" s="241"/>
      <c r="H10" s="240">
        <v>84658.8</v>
      </c>
      <c r="I10" s="241"/>
      <c r="J10" s="241"/>
      <c r="K10" s="240">
        <v>21803.397000000001</v>
      </c>
      <c r="L10" s="241"/>
      <c r="M10" s="240">
        <v>16364.082</v>
      </c>
      <c r="N10" s="241">
        <f t="shared" si="0"/>
        <v>38167.478999999999</v>
      </c>
      <c r="O10" s="241"/>
      <c r="P10" s="241"/>
      <c r="Q10" s="240">
        <v>1740.09</v>
      </c>
      <c r="R10" s="241">
        <v>0</v>
      </c>
      <c r="S10" s="241">
        <f t="shared" si="1"/>
        <v>1740.09</v>
      </c>
      <c r="T10" s="241"/>
      <c r="U10" s="241"/>
      <c r="V10" s="241"/>
      <c r="W10" s="241"/>
      <c r="X10" s="241"/>
      <c r="Y10" s="241">
        <v>0</v>
      </c>
      <c r="Z10" s="241"/>
      <c r="AA10" s="241"/>
      <c r="AB10" s="241"/>
      <c r="AC10" s="238" t="s">
        <v>102</v>
      </c>
      <c r="AD10" s="243" t="s">
        <v>407</v>
      </c>
      <c r="AE10" t="s">
        <v>408</v>
      </c>
    </row>
    <row r="11" spans="1:31" ht="25.35" outlineLevel="1" x14ac:dyDescent="0.5">
      <c r="A11" s="238" t="s">
        <v>99</v>
      </c>
      <c r="B11" s="239" t="s">
        <v>194</v>
      </c>
      <c r="C11" s="239" t="s">
        <v>409</v>
      </c>
      <c r="D11" s="240">
        <f>1287.746+5125.203</f>
        <v>6412.9490000000005</v>
      </c>
      <c r="E11" s="241"/>
      <c r="F11" s="241"/>
      <c r="G11" s="241"/>
      <c r="H11" s="240">
        <v>8597.76</v>
      </c>
      <c r="I11" s="245"/>
      <c r="J11" s="240">
        <v>5808.7259999999997</v>
      </c>
      <c r="K11" s="240">
        <v>1994.586</v>
      </c>
      <c r="L11" s="245"/>
      <c r="M11" s="240">
        <v>158.81</v>
      </c>
      <c r="N11" s="241">
        <f t="shared" si="0"/>
        <v>2153.3960000000002</v>
      </c>
      <c r="O11" s="245"/>
      <c r="P11" s="245"/>
      <c r="Q11" s="245"/>
      <c r="R11" s="240">
        <v>8926.94</v>
      </c>
      <c r="S11" s="241">
        <f t="shared" si="1"/>
        <v>8926.94</v>
      </c>
      <c r="T11" s="245"/>
      <c r="U11" s="245"/>
      <c r="V11" s="245"/>
      <c r="W11" s="245"/>
      <c r="X11" s="245"/>
      <c r="Y11" s="240">
        <v>1289.75</v>
      </c>
      <c r="Z11" s="245"/>
      <c r="AA11" s="245"/>
      <c r="AB11" s="245"/>
      <c r="AC11" s="238" t="s">
        <v>410</v>
      </c>
      <c r="AD11" s="243" t="s">
        <v>411</v>
      </c>
      <c r="AE11" t="s">
        <v>412</v>
      </c>
    </row>
    <row r="12" spans="1:31" ht="38" outlineLevel="1" x14ac:dyDescent="0.5">
      <c r="A12" s="238" t="s">
        <v>99</v>
      </c>
      <c r="B12" s="239" t="s">
        <v>84</v>
      </c>
      <c r="C12" s="239" t="s">
        <v>409</v>
      </c>
      <c r="D12" s="240">
        <f>2172.153+543.375+213.514</f>
        <v>2929.0419999999999</v>
      </c>
      <c r="E12" s="241"/>
      <c r="F12" s="241"/>
      <c r="G12" s="241"/>
      <c r="H12" s="240">
        <v>3353.9690000000001</v>
      </c>
      <c r="I12" s="245"/>
      <c r="J12" s="241"/>
      <c r="K12" s="240">
        <v>1582.175</v>
      </c>
      <c r="L12" s="245"/>
      <c r="M12" s="240">
        <v>1046.22</v>
      </c>
      <c r="N12" s="241">
        <f t="shared" si="0"/>
        <v>2628.395</v>
      </c>
      <c r="O12" s="245"/>
      <c r="P12" s="245"/>
      <c r="Q12" s="240">
        <v>187.5</v>
      </c>
      <c r="R12" s="241">
        <v>0</v>
      </c>
      <c r="S12" s="241">
        <f t="shared" si="1"/>
        <v>187.5</v>
      </c>
      <c r="T12" s="245"/>
      <c r="U12" s="245"/>
      <c r="V12" s="245"/>
      <c r="W12" s="245"/>
      <c r="X12" s="245"/>
      <c r="Y12" s="241"/>
      <c r="Z12" s="245"/>
      <c r="AA12" s="245"/>
      <c r="AB12" s="245"/>
      <c r="AC12" s="238" t="s">
        <v>413</v>
      </c>
      <c r="AD12" s="243" t="s">
        <v>414</v>
      </c>
      <c r="AE12" s="11" t="s">
        <v>415</v>
      </c>
    </row>
    <row r="13" spans="1:31" ht="25.35" outlineLevel="1" x14ac:dyDescent="0.5">
      <c r="A13" s="238" t="s">
        <v>99</v>
      </c>
      <c r="B13" s="239" t="s">
        <v>416</v>
      </c>
      <c r="C13" s="239" t="s">
        <v>409</v>
      </c>
      <c r="D13" s="240">
        <f>1818.25+324.67</f>
        <v>2142.92</v>
      </c>
      <c r="E13" s="241"/>
      <c r="F13" s="241"/>
      <c r="G13" s="241"/>
      <c r="H13" s="240">
        <v>21026.120000000003</v>
      </c>
      <c r="I13" s="245"/>
      <c r="J13" s="241"/>
      <c r="K13" s="240">
        <v>476.6</v>
      </c>
      <c r="L13" s="245"/>
      <c r="M13" s="241"/>
      <c r="N13" s="241">
        <f t="shared" si="0"/>
        <v>476.6</v>
      </c>
      <c r="O13" s="245"/>
      <c r="P13" s="245"/>
      <c r="Q13" s="245"/>
      <c r="R13" s="241"/>
      <c r="S13" s="241">
        <f t="shared" si="1"/>
        <v>0</v>
      </c>
      <c r="T13" s="245"/>
      <c r="U13" s="245"/>
      <c r="V13" s="245"/>
      <c r="W13" s="245"/>
      <c r="X13" s="245"/>
      <c r="Y13" s="241"/>
      <c r="Z13" s="245"/>
      <c r="AA13" s="245"/>
      <c r="AB13" s="245"/>
      <c r="AC13" s="238" t="s">
        <v>417</v>
      </c>
      <c r="AD13" s="243" t="s">
        <v>418</v>
      </c>
      <c r="AE13" s="11" t="s">
        <v>419</v>
      </c>
    </row>
    <row r="14" spans="1:31" ht="51.6" customHeight="1" outlineLevel="1" x14ac:dyDescent="0.5">
      <c r="A14" s="238" t="s">
        <v>99</v>
      </c>
      <c r="B14" s="239" t="s">
        <v>107</v>
      </c>
      <c r="C14" s="16" t="s">
        <v>108</v>
      </c>
      <c r="D14" s="241"/>
      <c r="E14" s="241"/>
      <c r="F14" s="241"/>
      <c r="G14" s="241"/>
      <c r="H14" s="241"/>
      <c r="I14" s="245"/>
      <c r="J14" s="241"/>
      <c r="K14" s="240">
        <v>3760.13</v>
      </c>
      <c r="L14" s="245"/>
      <c r="M14" s="240">
        <v>3084.57</v>
      </c>
      <c r="N14" s="241">
        <f t="shared" si="0"/>
        <v>6844.7000000000007</v>
      </c>
      <c r="O14" s="245"/>
      <c r="P14" s="245"/>
      <c r="Q14" s="245"/>
      <c r="R14" s="241"/>
      <c r="S14" s="241">
        <f t="shared" si="1"/>
        <v>0</v>
      </c>
      <c r="T14" s="245"/>
      <c r="U14" s="245"/>
      <c r="V14" s="245"/>
      <c r="W14" s="245"/>
      <c r="X14" s="245"/>
      <c r="Y14" s="241"/>
      <c r="Z14" s="245"/>
      <c r="AA14" s="245"/>
      <c r="AB14" s="245"/>
      <c r="AC14" s="16" t="s">
        <v>420</v>
      </c>
      <c r="AD14" s="243" t="s">
        <v>421</v>
      </c>
      <c r="AE14" s="11" t="s">
        <v>422</v>
      </c>
    </row>
    <row r="15" spans="1:31" ht="25.35" outlineLevel="1" x14ac:dyDescent="0.5">
      <c r="A15" s="238" t="s">
        <v>99</v>
      </c>
      <c r="B15" s="239" t="s">
        <v>423</v>
      </c>
      <c r="C15" s="239" t="s">
        <v>179</v>
      </c>
      <c r="D15" s="241"/>
      <c r="E15" s="241"/>
      <c r="F15" s="241"/>
      <c r="G15" s="241"/>
      <c r="H15" s="240">
        <v>99971.6</v>
      </c>
      <c r="I15" s="245"/>
      <c r="J15" s="241"/>
      <c r="K15" s="240">
        <v>2568</v>
      </c>
      <c r="L15" s="245"/>
      <c r="M15" s="241">
        <v>0</v>
      </c>
      <c r="N15" s="241">
        <f t="shared" si="0"/>
        <v>2568</v>
      </c>
      <c r="O15" s="245"/>
      <c r="P15" s="245"/>
      <c r="Q15" s="245"/>
      <c r="R15" s="241"/>
      <c r="S15" s="241">
        <f t="shared" si="1"/>
        <v>0</v>
      </c>
      <c r="T15" s="245"/>
      <c r="U15" s="245"/>
      <c r="V15" s="245"/>
      <c r="W15" s="245"/>
      <c r="X15" s="245"/>
      <c r="Y15" s="241"/>
      <c r="Z15" s="245"/>
      <c r="AA15" s="245"/>
      <c r="AB15" s="245"/>
      <c r="AC15" s="238" t="s">
        <v>424</v>
      </c>
      <c r="AD15" s="243" t="s">
        <v>425</v>
      </c>
      <c r="AE15" s="11" t="s">
        <v>426</v>
      </c>
    </row>
    <row r="16" spans="1:31" ht="25.35" outlineLevel="1" x14ac:dyDescent="0.5">
      <c r="A16" s="238" t="s">
        <v>99</v>
      </c>
      <c r="B16" s="239" t="s">
        <v>427</v>
      </c>
      <c r="C16" s="239" t="s">
        <v>179</v>
      </c>
      <c r="D16" s="240">
        <v>274.72000000000003</v>
      </c>
      <c r="E16" s="241"/>
      <c r="F16" s="241"/>
      <c r="G16" s="241"/>
      <c r="H16" s="240">
        <v>8287.5</v>
      </c>
      <c r="I16" s="245"/>
      <c r="J16" s="241"/>
      <c r="K16" s="240">
        <v>2700.55</v>
      </c>
      <c r="L16" s="245"/>
      <c r="M16" s="240">
        <v>3645</v>
      </c>
      <c r="N16" s="241">
        <f t="shared" si="0"/>
        <v>6345.55</v>
      </c>
      <c r="O16" s="245"/>
      <c r="P16" s="245"/>
      <c r="Q16" s="245">
        <v>0</v>
      </c>
      <c r="R16" s="241">
        <v>0</v>
      </c>
      <c r="S16" s="241">
        <f t="shared" si="1"/>
        <v>0</v>
      </c>
      <c r="T16" s="245"/>
      <c r="U16" s="245"/>
      <c r="V16" s="245"/>
      <c r="W16" s="245"/>
      <c r="X16" s="245"/>
      <c r="Y16" s="241"/>
      <c r="Z16" s="245"/>
      <c r="AA16" s="245"/>
      <c r="AB16" s="245"/>
      <c r="AC16" s="238" t="s">
        <v>428</v>
      </c>
      <c r="AD16" s="243" t="s">
        <v>429</v>
      </c>
      <c r="AE16" s="11" t="s">
        <v>430</v>
      </c>
    </row>
    <row r="17" spans="1:33" ht="88.7" outlineLevel="1" x14ac:dyDescent="0.5">
      <c r="A17" s="238" t="s">
        <v>99</v>
      </c>
      <c r="B17" s="239" t="s">
        <v>117</v>
      </c>
      <c r="C17" s="239" t="s">
        <v>431</v>
      </c>
      <c r="D17" s="248">
        <f>86.021+0.375+383.095+37.132+56.266+34.301+30.196</f>
        <v>627.38600000000008</v>
      </c>
      <c r="E17" s="241"/>
      <c r="F17" s="241"/>
      <c r="G17" s="241"/>
      <c r="H17" s="241"/>
      <c r="I17" s="245"/>
      <c r="J17" s="241"/>
      <c r="K17" s="241"/>
      <c r="L17" s="245"/>
      <c r="M17" s="241"/>
      <c r="N17" s="241"/>
      <c r="O17" s="245"/>
      <c r="P17" s="245"/>
      <c r="Q17" s="245"/>
      <c r="R17" s="241"/>
      <c r="S17" s="241"/>
      <c r="T17" s="245"/>
      <c r="U17" s="245"/>
      <c r="V17" s="245"/>
      <c r="W17" s="245"/>
      <c r="X17" s="245"/>
      <c r="Y17" s="241"/>
      <c r="Z17" s="245"/>
      <c r="AA17" s="245"/>
      <c r="AB17" s="245"/>
      <c r="AC17" s="238"/>
      <c r="AD17" s="243"/>
    </row>
    <row r="18" spans="1:33" ht="28.7" outlineLevel="1" x14ac:dyDescent="0.5">
      <c r="A18" s="238" t="s">
        <v>99</v>
      </c>
      <c r="B18" s="247" t="s">
        <v>125</v>
      </c>
      <c r="C18" s="16" t="s">
        <v>126</v>
      </c>
      <c r="D18" s="248">
        <v>9733.9529999999995</v>
      </c>
      <c r="E18" s="241">
        <v>573</v>
      </c>
      <c r="F18" s="241">
        <v>1943.1379999999999</v>
      </c>
      <c r="G18" s="241"/>
      <c r="H18" s="241">
        <v>24291.870999999999</v>
      </c>
      <c r="I18" s="245"/>
      <c r="J18" s="241"/>
      <c r="K18" s="241"/>
      <c r="L18" s="241">
        <v>1430.1010000000001</v>
      </c>
      <c r="M18" s="241"/>
      <c r="N18" s="241">
        <f t="shared" si="0"/>
        <v>1430.1010000000001</v>
      </c>
      <c r="O18" s="245"/>
      <c r="P18" s="245"/>
      <c r="Q18" s="245"/>
      <c r="R18" s="241"/>
      <c r="S18" s="241">
        <f t="shared" si="1"/>
        <v>0</v>
      </c>
      <c r="T18" s="245"/>
      <c r="U18" s="245"/>
      <c r="V18" s="245"/>
      <c r="W18" s="241"/>
      <c r="X18" s="241"/>
      <c r="Y18" s="241"/>
      <c r="Z18" s="245"/>
      <c r="AA18" s="245"/>
      <c r="AB18" s="245"/>
      <c r="AC18" s="16" t="s">
        <v>432</v>
      </c>
      <c r="AD18" s="243" t="s">
        <v>433</v>
      </c>
    </row>
    <row r="19" spans="1:33" ht="329.35" x14ac:dyDescent="0.5">
      <c r="A19" s="249" t="s">
        <v>99</v>
      </c>
      <c r="B19" s="250" t="str">
        <f>CONCATENATE(1,B5,",",2,B6,",",3,B7,",",4,B8,",",5,B9,",",6,B10,",",7,B11,",",8,B12,",",9,B13,",",10,B14,",",11,B15,",",12,B16,",",13,B18)</f>
        <v>1RESTORATION AND LINING OF SONE WESTERN LINK CANAL,2CONSTRUCTION OF CANAL AND ITS LINING WORK AND STRUCTURES FROM R.D. 806.40 TO R.D. 827.70 UNDER TIRHUT MAIN CANAL,3Lining work of Chausa Branch Canal from 0.000 Km to 12.924 Km &amp; Restoration of Kochas and Indaur Distributary under Ganga Pump Canal Division, Chausa Buxar,4Widening and Strengthening of Samastipur-Dalsinghsarai Road in Km. 20.00 to Km. 28.80 (Total Length 7.900 Km.) for the year 2018-19,5Widening and Strenthening of Road from Basariya, NH-28 to Sarairanjan, NH-103 via Ramnagar chowk (Bella-Megh chowk), Jhakhra, Sarairanjan, Saraiya, Morwa under Road Division, Rosera from Ch. Km. 5.600 to 12.270 for the year 2018-19.,6Widening &amp; Strengthening work of Vishwakarma Chowk to Guabadi,Narayanpipar, Chaurahi Block Head Via-Bakhadda Chowk of Cheriya Bariyarpur Block for the year 2019-20.,7 Long Term Output and Performance based Road Maintenance work for the roads  Package No.9A/OPRMC2/Benipur.,8Widening &amp; Strengthening of Dharraura Chowk to Mazampur Bajidpur-Bahera Jhanjharpur road in km 0.0 to 11.64 in darbhanga district under Road Division, Benipur for the year 2019-20,9Widening &amp; Strengthening of Supaul to Bauram Road in Km 0.00 to 12.20 under Road Division Benipur for the year 2019-20,10Widening and Strengthening (from Single Lane to Double Lane) of Turki (N.H.-77)-Saraiya (N.H.-102) Road (Km 0.000 to Km 21.825) under PMGSY (RCP-LWE) in the district of Muzaffarpur, Bihar for the year 2019-20 (Package No. BR23RC-119 ),11Widening &amp; Strengthening of Magardahi Ghat to Siliut (Durga Asthan) road in Km. 0.00 to 5.00 (Total Length 5.00 Km) for the Year 2019-20,12Widening &amp; Strengthening of Muktapur-Warisnagar-Bhadohighat-Hatauri Road in Km. 00 to 23.300 (Total Length - 23.30 Km) for the year 2019-20,13Civil Works including Building and U.G.Piping Works for HURL Project, Barauni. SUBCONTRACT FROM TECHNIP INDIA LIMITED</v>
      </c>
      <c r="C19" s="250" t="str">
        <f>CONCATENATE(1,C5,",",2,C6,",",3,C7,",",4,C8,",",5,C9,",",6,C10,",",7,C11,",",8,C12,",",9,C13,",",10,C14,",",11,C15,",",12,C16,",",13,C18)</f>
        <v>1EE, SONE BARRAGE DIVISION, INDRAPURI,2EE, Tirhut Canal Division, Motipur, Camp- Muzaffarpur,3EE, GANGA PUMP CANAL DIVISION, BUXAR,4EE, RCD, ROSERA,5EE, RCD, ROSERA,6EE, RCD, BEGUSARAI,7EE,RCD BENIPUR, DARBHANGA,8EE,RCD BENIPUR, DARBHANGA,9EE,RCD BENIPUR, DARBHANGA,10EE, RCD, RD-1, Muzaffarpur,11EE, RCD, SAMASTIPUR,12EE, RCD, SAMASTIPUR,13Technip India Limited</v>
      </c>
      <c r="D19" s="251">
        <f t="shared" ref="D19:AB19" si="2">SUM(D5:D18)</f>
        <v>53660.610120000005</v>
      </c>
      <c r="E19" s="251">
        <f t="shared" si="2"/>
        <v>573</v>
      </c>
      <c r="F19" s="251">
        <f t="shared" si="2"/>
        <v>2121.4780000000001</v>
      </c>
      <c r="G19" s="251">
        <f t="shared" si="2"/>
        <v>0</v>
      </c>
      <c r="H19" s="251">
        <f t="shared" si="2"/>
        <v>1413388.7482680005</v>
      </c>
      <c r="I19" s="251">
        <f t="shared" si="2"/>
        <v>16119.426168</v>
      </c>
      <c r="J19" s="251">
        <f t="shared" si="2"/>
        <v>6798.7259999999997</v>
      </c>
      <c r="K19" s="251">
        <f t="shared" si="2"/>
        <v>68393.715900000025</v>
      </c>
      <c r="L19" s="251">
        <f t="shared" si="2"/>
        <v>1430.1010000000001</v>
      </c>
      <c r="M19" s="251">
        <f t="shared" si="2"/>
        <v>41044.633999999998</v>
      </c>
      <c r="N19" s="251">
        <f t="shared" si="2"/>
        <v>110868.4509</v>
      </c>
      <c r="O19" s="251">
        <f t="shared" si="2"/>
        <v>0</v>
      </c>
      <c r="P19" s="251">
        <f t="shared" si="2"/>
        <v>0</v>
      </c>
      <c r="Q19" s="251">
        <f t="shared" si="2"/>
        <v>4658.6629999999996</v>
      </c>
      <c r="R19" s="251">
        <f t="shared" si="2"/>
        <v>10300.874</v>
      </c>
      <c r="S19" s="251">
        <f t="shared" si="2"/>
        <v>14959.537</v>
      </c>
      <c r="T19" s="251">
        <f t="shared" si="2"/>
        <v>15.66</v>
      </c>
      <c r="U19" s="251">
        <f t="shared" si="2"/>
        <v>0</v>
      </c>
      <c r="V19" s="251">
        <f t="shared" si="2"/>
        <v>4814.4034800000009</v>
      </c>
      <c r="W19" s="251">
        <f t="shared" si="2"/>
        <v>0</v>
      </c>
      <c r="X19" s="251">
        <f t="shared" si="2"/>
        <v>0</v>
      </c>
      <c r="Y19" s="251">
        <f t="shared" si="2"/>
        <v>1289.75</v>
      </c>
      <c r="Z19" s="251">
        <f t="shared" si="2"/>
        <v>0</v>
      </c>
      <c r="AA19" s="251">
        <f t="shared" si="2"/>
        <v>0</v>
      </c>
      <c r="AB19" s="251">
        <f t="shared" si="2"/>
        <v>48597927</v>
      </c>
      <c r="AC19" s="249" t="str">
        <f>CONCATENATE(AC5,",",AC6,",",AC7,",",AC8,",",AC9,",",AC10,",",AC11,",",AC12,",",AC13,",",AC14,",",AC15,",",AC16,",",AC18)</f>
        <v>02/SBD/2016-17 DATED 2.2.2017 BLPL SHARE 27.5%+69.7% subcontract from Lead Member of JV),01/SBD/2017-18 DATED 22.11.2017,01/SBD/2017-18 DATED 4.11.2017,01 SBD / 2019-20 DT. 19.07.2019,01 (SBD) of 2020-21 dt. 29.05.2020,03/2019-20 DT. 04.12.2019,4/MBD/2018-19 DT. 12.02.2019,18 SBD of 2019-20 dt. 13.03.2020,04SBD/2020-21 dt 20.07.2020,SBD-09 LWE OF 2020-21 DT 1112.2020,08/EPC of 2020-21 dt. 24.12.2020,07/SBD of 2020-21 dt. 22.09.2020,C100006467 dated 07.01.19 Ammend-7 dt. 30.05.2023</v>
      </c>
      <c r="AD19" s="252"/>
    </row>
    <row r="20" spans="1:33" s="244" customFormat="1" ht="38" outlineLevel="1" x14ac:dyDescent="0.5">
      <c r="A20" s="238" t="s">
        <v>140</v>
      </c>
      <c r="B20" s="239" t="s">
        <v>69</v>
      </c>
      <c r="C20" s="239" t="s">
        <v>70</v>
      </c>
      <c r="D20" s="240">
        <f>17806.9*(27.5%+69.7%)</f>
        <v>17308.306800000002</v>
      </c>
      <c r="E20" s="241">
        <v>1.2569999999999999</v>
      </c>
      <c r="F20" s="241"/>
      <c r="G20" s="241"/>
      <c r="H20" s="240">
        <f>259601.868*(27.5%+69.7%)</f>
        <v>252333.01569600002</v>
      </c>
      <c r="I20" s="240">
        <f>14632.7289*(27.5%+69.7%)</f>
        <v>14223.012490800002</v>
      </c>
      <c r="J20" s="241"/>
      <c r="K20" s="240">
        <f>13778.817*(27.5%+69.7%)</f>
        <v>13393.010124</v>
      </c>
      <c r="L20" s="241"/>
      <c r="M20" s="241"/>
      <c r="N20" s="241">
        <f t="shared" ref="N20:N35" si="3">K20+L20+M20</f>
        <v>13393.010124</v>
      </c>
      <c r="O20" s="241"/>
      <c r="P20" s="241"/>
      <c r="Q20" s="241"/>
      <c r="R20" s="241"/>
      <c r="S20" s="241">
        <f t="shared" si="1"/>
        <v>0</v>
      </c>
      <c r="T20" s="241"/>
      <c r="U20" s="241"/>
      <c r="V20" s="242">
        <f>6460.909*(27.5%+69.7%)</f>
        <v>6280.0035480000006</v>
      </c>
      <c r="W20" s="241"/>
      <c r="X20" s="241"/>
      <c r="Y20" s="241"/>
      <c r="Z20" s="241"/>
      <c r="AA20" s="241"/>
      <c r="AB20" s="241"/>
      <c r="AC20" s="238" t="s">
        <v>397</v>
      </c>
      <c r="AD20" s="243" t="s">
        <v>398</v>
      </c>
    </row>
    <row r="21" spans="1:33" ht="38" outlineLevel="1" x14ac:dyDescent="0.5">
      <c r="A21" s="238" t="s">
        <v>140</v>
      </c>
      <c r="B21" s="239" t="s">
        <v>183</v>
      </c>
      <c r="C21" s="239" t="s">
        <v>184</v>
      </c>
      <c r="D21" s="240">
        <v>5887</v>
      </c>
      <c r="E21" s="245"/>
      <c r="F21" s="241">
        <f>138.76*0</f>
        <v>0</v>
      </c>
      <c r="G21" s="245"/>
      <c r="H21" s="241">
        <v>0</v>
      </c>
      <c r="I21" s="245"/>
      <c r="J21" s="245"/>
      <c r="K21" s="245"/>
      <c r="L21" s="245"/>
      <c r="M21" s="245"/>
      <c r="N21" s="241">
        <f t="shared" si="3"/>
        <v>0</v>
      </c>
      <c r="O21" s="245"/>
      <c r="P21" s="245"/>
      <c r="Q21" s="245"/>
      <c r="R21" s="245"/>
      <c r="S21" s="241">
        <f t="shared" si="1"/>
        <v>0</v>
      </c>
      <c r="T21" s="245"/>
      <c r="U21" s="245"/>
      <c r="V21" s="245"/>
      <c r="W21" s="245"/>
      <c r="X21" s="245"/>
      <c r="Y21" s="245"/>
      <c r="Z21" s="245"/>
      <c r="AA21" s="245"/>
      <c r="AB21" s="245"/>
      <c r="AC21" s="238" t="s">
        <v>185</v>
      </c>
      <c r="AD21" s="243" t="s">
        <v>434</v>
      </c>
      <c r="AE21" t="s">
        <v>399</v>
      </c>
    </row>
    <row r="22" spans="1:33" s="244" customFormat="1" ht="38" outlineLevel="1" x14ac:dyDescent="0.5">
      <c r="A22" s="238" t="s">
        <v>140</v>
      </c>
      <c r="B22" s="239" t="s">
        <v>400</v>
      </c>
      <c r="C22" s="239" t="s">
        <v>401</v>
      </c>
      <c r="D22" s="240">
        <f>4923.491+216.487</f>
        <v>5139.9780000000001</v>
      </c>
      <c r="E22" s="241"/>
      <c r="F22" s="240">
        <v>2069.9459999999999</v>
      </c>
      <c r="G22" s="241"/>
      <c r="H22" s="240">
        <v>244016.79</v>
      </c>
      <c r="I22" s="241"/>
      <c r="J22" s="241"/>
      <c r="K22" s="241"/>
      <c r="L22" s="241"/>
      <c r="M22" s="241"/>
      <c r="N22" s="241">
        <f t="shared" si="3"/>
        <v>0</v>
      </c>
      <c r="O22" s="241"/>
      <c r="P22" s="241"/>
      <c r="Q22" s="241"/>
      <c r="R22" s="241"/>
      <c r="S22" s="241">
        <f t="shared" si="1"/>
        <v>0</v>
      </c>
      <c r="T22" s="241"/>
      <c r="U22" s="241"/>
      <c r="V22" s="241"/>
      <c r="W22" s="241"/>
      <c r="X22" s="241"/>
      <c r="Y22" s="241"/>
      <c r="Z22" s="241"/>
      <c r="AA22" s="241"/>
      <c r="AB22" s="241"/>
      <c r="AC22" s="238" t="s">
        <v>402</v>
      </c>
      <c r="AD22" s="243" t="s">
        <v>435</v>
      </c>
      <c r="AE22" t="s">
        <v>403</v>
      </c>
    </row>
    <row r="23" spans="1:33" s="244" customFormat="1" ht="54" customHeight="1" outlineLevel="1" x14ac:dyDescent="0.5">
      <c r="A23" s="238" t="s">
        <v>140</v>
      </c>
      <c r="B23" s="239" t="s">
        <v>113</v>
      </c>
      <c r="C23" s="239" t="s">
        <v>78</v>
      </c>
      <c r="D23" s="240">
        <v>96.25</v>
      </c>
      <c r="E23" s="241"/>
      <c r="F23" s="241"/>
      <c r="G23" s="241"/>
      <c r="H23" s="240">
        <v>11819.4755</v>
      </c>
      <c r="I23" s="241"/>
      <c r="J23" s="241"/>
      <c r="K23" s="240">
        <v>83.16</v>
      </c>
      <c r="L23" s="241"/>
      <c r="M23" s="240">
        <v>938.27499999999998</v>
      </c>
      <c r="N23" s="241">
        <f t="shared" si="3"/>
        <v>1021.4349999999999</v>
      </c>
      <c r="O23" s="241"/>
      <c r="P23" s="241"/>
      <c r="Q23" s="240">
        <v>1454.1175000000001</v>
      </c>
      <c r="R23" s="240">
        <v>793.15499999999997</v>
      </c>
      <c r="S23" s="241">
        <f t="shared" si="1"/>
        <v>2247.2725</v>
      </c>
      <c r="T23" s="241"/>
      <c r="U23" s="241"/>
      <c r="V23" s="241"/>
      <c r="W23" s="241"/>
      <c r="X23" s="241"/>
      <c r="Y23" s="241"/>
      <c r="Z23" s="241"/>
      <c r="AA23" s="241"/>
      <c r="AB23" s="241">
        <v>19512027</v>
      </c>
      <c r="AC23" s="16" t="s">
        <v>114</v>
      </c>
      <c r="AD23" s="243" t="s">
        <v>405</v>
      </c>
      <c r="AE23" t="s">
        <v>406</v>
      </c>
    </row>
    <row r="24" spans="1:33" s="244" customFormat="1" ht="38" outlineLevel="1" x14ac:dyDescent="0.5">
      <c r="A24" s="238" t="s">
        <v>140</v>
      </c>
      <c r="B24" s="239" t="s">
        <v>100</v>
      </c>
      <c r="C24" s="247" t="s">
        <v>101</v>
      </c>
      <c r="D24" s="240">
        <f>323.74+126.495</f>
        <v>450.23500000000001</v>
      </c>
      <c r="E24" s="241"/>
      <c r="F24" s="241"/>
      <c r="G24" s="241"/>
      <c r="H24" s="240">
        <v>40606.267</v>
      </c>
      <c r="I24" s="241"/>
      <c r="J24" s="241"/>
      <c r="K24" s="240">
        <v>589.47299999999996</v>
      </c>
      <c r="L24" s="241"/>
      <c r="M24" s="240">
        <v>3291.4380000000001</v>
      </c>
      <c r="N24" s="241">
        <f t="shared" si="3"/>
        <v>3880.9110000000001</v>
      </c>
      <c r="O24" s="241"/>
      <c r="P24" s="241"/>
      <c r="Q24" s="240">
        <v>2975.64</v>
      </c>
      <c r="R24" s="240">
        <v>2553.3000000000002</v>
      </c>
      <c r="S24" s="241">
        <f t="shared" si="1"/>
        <v>5528.9400000000005</v>
      </c>
      <c r="T24" s="241"/>
      <c r="U24" s="241"/>
      <c r="V24" s="241"/>
      <c r="W24" s="241"/>
      <c r="X24" s="241"/>
      <c r="Y24" s="240">
        <v>5857.5</v>
      </c>
      <c r="Z24" s="241"/>
      <c r="AA24" s="241"/>
      <c r="AB24" s="241">
        <v>7469967</v>
      </c>
      <c r="AC24" s="238" t="s">
        <v>102</v>
      </c>
      <c r="AD24" s="243" t="s">
        <v>407</v>
      </c>
      <c r="AE24" t="s">
        <v>408</v>
      </c>
    </row>
    <row r="25" spans="1:33" ht="25.35" outlineLevel="1" x14ac:dyDescent="0.5">
      <c r="A25" s="238" t="s">
        <v>140</v>
      </c>
      <c r="B25" s="239" t="s">
        <v>194</v>
      </c>
      <c r="C25" s="239" t="s">
        <v>409</v>
      </c>
      <c r="D25" s="240">
        <v>274.149</v>
      </c>
      <c r="E25" s="241"/>
      <c r="F25" s="241"/>
      <c r="G25" s="241"/>
      <c r="H25" s="241">
        <v>0</v>
      </c>
      <c r="I25" s="245"/>
      <c r="J25" s="241">
        <v>0</v>
      </c>
      <c r="K25" s="240">
        <v>94.08</v>
      </c>
      <c r="L25" s="245"/>
      <c r="M25" s="241">
        <v>0</v>
      </c>
      <c r="N25" s="241">
        <f t="shared" si="3"/>
        <v>94.08</v>
      </c>
      <c r="O25" s="245"/>
      <c r="P25" s="245"/>
      <c r="Q25" s="245"/>
      <c r="R25" s="240">
        <v>5903.1750000000002</v>
      </c>
      <c r="S25" s="241">
        <f t="shared" si="1"/>
        <v>5903.1750000000002</v>
      </c>
      <c r="T25" s="245"/>
      <c r="U25" s="245"/>
      <c r="V25" s="245"/>
      <c r="W25" s="245"/>
      <c r="X25" s="245"/>
      <c r="Y25" s="241">
        <v>0</v>
      </c>
      <c r="Z25" s="245"/>
      <c r="AA25" s="245"/>
      <c r="AB25" s="245"/>
      <c r="AC25" s="238" t="s">
        <v>410</v>
      </c>
      <c r="AD25" s="243" t="s">
        <v>436</v>
      </c>
      <c r="AE25" t="s">
        <v>437</v>
      </c>
    </row>
    <row r="26" spans="1:33" ht="38" outlineLevel="1" x14ac:dyDescent="0.5">
      <c r="A26" s="238" t="s">
        <v>140</v>
      </c>
      <c r="B26" s="239" t="s">
        <v>84</v>
      </c>
      <c r="C26" s="239" t="s">
        <v>409</v>
      </c>
      <c r="D26" s="240">
        <f>1437.98+367.3+413.37</f>
        <v>2218.65</v>
      </c>
      <c r="E26" s="241"/>
      <c r="F26" s="241"/>
      <c r="G26" s="241"/>
      <c r="H26" s="240">
        <v>31208.216</v>
      </c>
      <c r="I26" s="245"/>
      <c r="J26" s="240">
        <v>16.658999999999999</v>
      </c>
      <c r="K26" s="240">
        <v>788.84</v>
      </c>
      <c r="L26" s="245"/>
      <c r="M26" s="240">
        <v>510.05</v>
      </c>
      <c r="N26" s="241">
        <f t="shared" si="3"/>
        <v>1298.8900000000001</v>
      </c>
      <c r="O26" s="245"/>
      <c r="P26" s="245"/>
      <c r="Q26" s="240">
        <v>1489.1</v>
      </c>
      <c r="R26" s="240">
        <v>1007.42</v>
      </c>
      <c r="S26" s="241">
        <f t="shared" si="1"/>
        <v>2496.52</v>
      </c>
      <c r="T26" s="245"/>
      <c r="U26" s="245"/>
      <c r="V26" s="245"/>
      <c r="W26" s="245"/>
      <c r="X26" s="245"/>
      <c r="Y26" s="241"/>
      <c r="Z26" s="245"/>
      <c r="AA26" s="245"/>
      <c r="AB26" s="245"/>
      <c r="AC26" s="238" t="s">
        <v>413</v>
      </c>
      <c r="AD26" s="243" t="s">
        <v>414</v>
      </c>
      <c r="AE26" t="s">
        <v>415</v>
      </c>
      <c r="AF26" s="7"/>
      <c r="AG26" s="7"/>
    </row>
    <row r="27" spans="1:33" ht="25.35" outlineLevel="1" x14ac:dyDescent="0.5">
      <c r="A27" s="238" t="s">
        <v>140</v>
      </c>
      <c r="B27" s="239" t="s">
        <v>416</v>
      </c>
      <c r="C27" s="239" t="s">
        <v>409</v>
      </c>
      <c r="D27" s="240">
        <f>119.83+228.99+588.873+172.46+1006.31</f>
        <v>2116.4629999999997</v>
      </c>
      <c r="E27" s="240">
        <v>48.180999999999997</v>
      </c>
      <c r="F27" s="241"/>
      <c r="G27" s="241"/>
      <c r="H27" s="240">
        <f>16115.27+1648.73</f>
        <v>17764</v>
      </c>
      <c r="I27" s="245"/>
      <c r="J27" s="241"/>
      <c r="K27" s="240">
        <v>6988.78</v>
      </c>
      <c r="L27" s="245"/>
      <c r="M27" s="241"/>
      <c r="N27" s="241">
        <f t="shared" si="3"/>
        <v>6988.78</v>
      </c>
      <c r="O27" s="245"/>
      <c r="P27" s="245"/>
      <c r="Q27" s="245"/>
      <c r="R27" s="241"/>
      <c r="S27" s="241">
        <f t="shared" si="1"/>
        <v>0</v>
      </c>
      <c r="T27" s="245"/>
      <c r="U27" s="245"/>
      <c r="V27" s="245"/>
      <c r="W27" s="245"/>
      <c r="X27" s="245"/>
      <c r="Y27" s="241"/>
      <c r="Z27" s="245"/>
      <c r="AA27" s="245"/>
      <c r="AB27" s="245"/>
      <c r="AC27" s="238" t="s">
        <v>417</v>
      </c>
      <c r="AD27" s="243" t="s">
        <v>418</v>
      </c>
      <c r="AE27" t="s">
        <v>438</v>
      </c>
    </row>
    <row r="28" spans="1:33" ht="38" outlineLevel="1" x14ac:dyDescent="0.5">
      <c r="A28" s="238" t="s">
        <v>140</v>
      </c>
      <c r="B28" s="239" t="s">
        <v>107</v>
      </c>
      <c r="C28" s="16" t="s">
        <v>108</v>
      </c>
      <c r="D28" s="240">
        <f>641.41+1622.88+35+9+16.5+24.02+131.49</f>
        <v>2480.3000000000002</v>
      </c>
      <c r="E28" s="240">
        <v>16.8748</v>
      </c>
      <c r="F28" s="241"/>
      <c r="G28" s="241"/>
      <c r="H28" s="241"/>
      <c r="I28" s="245"/>
      <c r="J28" s="241"/>
      <c r="K28" s="240">
        <v>9345</v>
      </c>
      <c r="L28" s="245"/>
      <c r="M28" s="240">
        <v>9146.48</v>
      </c>
      <c r="N28" s="241">
        <f t="shared" si="3"/>
        <v>18491.48</v>
      </c>
      <c r="O28" s="245"/>
      <c r="P28" s="245"/>
      <c r="Q28" s="240">
        <v>1420.57</v>
      </c>
      <c r="R28" s="241"/>
      <c r="S28" s="241">
        <f t="shared" si="1"/>
        <v>1420.57</v>
      </c>
      <c r="T28" s="245"/>
      <c r="U28" s="245"/>
      <c r="V28" s="245"/>
      <c r="W28" s="245"/>
      <c r="X28" s="245"/>
      <c r="Y28" s="241"/>
      <c r="Z28" s="245"/>
      <c r="AA28" s="245"/>
      <c r="AB28" s="245"/>
      <c r="AC28" s="16" t="s">
        <v>420</v>
      </c>
      <c r="AD28" s="243" t="s">
        <v>421</v>
      </c>
      <c r="AE28" t="s">
        <v>422</v>
      </c>
    </row>
    <row r="29" spans="1:33" ht="25.35" outlineLevel="1" x14ac:dyDescent="0.5">
      <c r="A29" s="238" t="s">
        <v>140</v>
      </c>
      <c r="B29" s="239" t="s">
        <v>423</v>
      </c>
      <c r="C29" s="239" t="s">
        <v>179</v>
      </c>
      <c r="D29" s="241"/>
      <c r="E29" s="241"/>
      <c r="F29" s="241"/>
      <c r="G29" s="241"/>
      <c r="H29" s="240">
        <v>75923.11</v>
      </c>
      <c r="I29" s="245"/>
      <c r="J29" s="241"/>
      <c r="K29" s="240">
        <v>3882.51</v>
      </c>
      <c r="L29" s="245"/>
      <c r="M29" s="240">
        <v>7778.12</v>
      </c>
      <c r="N29" s="241">
        <f t="shared" si="3"/>
        <v>11660.630000000001</v>
      </c>
      <c r="O29" s="245"/>
      <c r="P29" s="245"/>
      <c r="Q29" s="240">
        <v>836.94</v>
      </c>
      <c r="R29" s="241">
        <v>0</v>
      </c>
      <c r="S29" s="241">
        <f t="shared" si="1"/>
        <v>836.94</v>
      </c>
      <c r="T29" s="245"/>
      <c r="U29" s="245"/>
      <c r="V29" s="240">
        <v>4287.9750000000004</v>
      </c>
      <c r="W29" s="241"/>
      <c r="X29" s="241"/>
      <c r="Y29" s="241"/>
      <c r="Z29" s="245"/>
      <c r="AA29" s="245"/>
      <c r="AB29" s="245"/>
      <c r="AC29" s="238" t="s">
        <v>424</v>
      </c>
      <c r="AD29" s="243" t="s">
        <v>425</v>
      </c>
      <c r="AE29" t="s">
        <v>426</v>
      </c>
    </row>
    <row r="30" spans="1:33" ht="25.35" outlineLevel="1" x14ac:dyDescent="0.5">
      <c r="A30" s="238" t="s">
        <v>140</v>
      </c>
      <c r="B30" s="239" t="s">
        <v>427</v>
      </c>
      <c r="C30" s="239" t="s">
        <v>179</v>
      </c>
      <c r="D30" s="240">
        <f>5605.85+428.51</f>
        <v>6034.3600000000006</v>
      </c>
      <c r="E30" s="241"/>
      <c r="F30" s="241"/>
      <c r="G30" s="241"/>
      <c r="H30" s="240">
        <v>13099</v>
      </c>
      <c r="I30" s="245"/>
      <c r="J30" s="241"/>
      <c r="K30" s="240">
        <v>4368.0600000000004</v>
      </c>
      <c r="L30" s="245"/>
      <c r="M30" s="240">
        <v>8849.9</v>
      </c>
      <c r="N30" s="241">
        <f t="shared" si="3"/>
        <v>13217.96</v>
      </c>
      <c r="O30" s="245"/>
      <c r="P30" s="245"/>
      <c r="Q30" s="240">
        <v>1690.33</v>
      </c>
      <c r="R30" s="241">
        <v>0</v>
      </c>
      <c r="S30" s="241">
        <f t="shared" si="1"/>
        <v>1690.33</v>
      </c>
      <c r="T30" s="245"/>
      <c r="U30" s="245"/>
      <c r="V30" s="245"/>
      <c r="W30" s="245"/>
      <c r="X30" s="245"/>
      <c r="Y30" s="241"/>
      <c r="Z30" s="245"/>
      <c r="AA30" s="245"/>
      <c r="AB30" s="245"/>
      <c r="AC30" s="238" t="s">
        <v>428</v>
      </c>
      <c r="AD30" s="243" t="s">
        <v>429</v>
      </c>
      <c r="AE30" t="s">
        <v>430</v>
      </c>
    </row>
    <row r="31" spans="1:33" s="244" customFormat="1" ht="38" outlineLevel="1" x14ac:dyDescent="0.5">
      <c r="A31" s="238" t="s">
        <v>140</v>
      </c>
      <c r="B31" s="239" t="s">
        <v>205</v>
      </c>
      <c r="C31" s="239" t="s">
        <v>206</v>
      </c>
      <c r="D31" s="240">
        <f>57.24+367.92</f>
        <v>425.16</v>
      </c>
      <c r="E31" s="240">
        <v>24.143000000000001</v>
      </c>
      <c r="F31" s="241"/>
      <c r="G31" s="241"/>
      <c r="H31" s="240">
        <f>502680.98+37200+1057.14</f>
        <v>540938.12</v>
      </c>
      <c r="I31" s="241"/>
      <c r="J31" s="241"/>
      <c r="K31" s="240">
        <v>13605</v>
      </c>
      <c r="L31" s="241"/>
      <c r="M31" s="240">
        <v>3429.375</v>
      </c>
      <c r="N31" s="241">
        <f t="shared" si="3"/>
        <v>17034.375</v>
      </c>
      <c r="O31" s="241"/>
      <c r="P31" s="241"/>
      <c r="Q31" s="241"/>
      <c r="R31" s="241"/>
      <c r="S31" s="241">
        <f t="shared" si="1"/>
        <v>0</v>
      </c>
      <c r="T31" s="241"/>
      <c r="U31" s="241"/>
      <c r="V31" s="241"/>
      <c r="W31" s="241"/>
      <c r="X31" s="241"/>
      <c r="Y31" s="241"/>
      <c r="Z31" s="241"/>
      <c r="AA31" s="241"/>
      <c r="AB31" s="241"/>
      <c r="AC31" s="238" t="s">
        <v>439</v>
      </c>
      <c r="AD31" s="243" t="s">
        <v>440</v>
      </c>
      <c r="AE31" s="253" t="s">
        <v>441</v>
      </c>
    </row>
    <row r="32" spans="1:33" ht="28.7" outlineLevel="1" x14ac:dyDescent="0.5">
      <c r="A32" s="238" t="s">
        <v>140</v>
      </c>
      <c r="B32" s="247" t="s">
        <v>125</v>
      </c>
      <c r="C32" s="16" t="s">
        <v>126</v>
      </c>
      <c r="D32" s="248">
        <v>6743.308</v>
      </c>
      <c r="E32" s="241">
        <v>224</v>
      </c>
      <c r="F32" s="241">
        <v>245.00899999999999</v>
      </c>
      <c r="G32" s="241"/>
      <c r="H32" s="241">
        <v>3447.9209999999998</v>
      </c>
      <c r="I32" s="245"/>
      <c r="J32" s="241"/>
      <c r="K32" s="241"/>
      <c r="L32" s="241">
        <v>1498.309</v>
      </c>
      <c r="M32" s="241"/>
      <c r="N32" s="241">
        <f t="shared" si="3"/>
        <v>1498.309</v>
      </c>
      <c r="O32" s="245"/>
      <c r="P32" s="245"/>
      <c r="Q32" s="245"/>
      <c r="R32" s="241"/>
      <c r="S32" s="241">
        <f t="shared" si="1"/>
        <v>0</v>
      </c>
      <c r="T32" s="245"/>
      <c r="U32" s="245"/>
      <c r="V32" s="245"/>
      <c r="W32" s="241"/>
      <c r="X32" s="241"/>
      <c r="Y32" s="241"/>
      <c r="Z32" s="245"/>
      <c r="AA32" s="245"/>
      <c r="AB32" s="245"/>
      <c r="AC32" s="16" t="s">
        <v>432</v>
      </c>
      <c r="AD32" s="243" t="s">
        <v>433</v>
      </c>
    </row>
    <row r="33" spans="1:31" s="244" customFormat="1" ht="28.7" outlineLevel="1" x14ac:dyDescent="0.5">
      <c r="A33" s="238" t="s">
        <v>140</v>
      </c>
      <c r="B33" s="247" t="s">
        <v>141</v>
      </c>
      <c r="C33" s="16" t="s">
        <v>142</v>
      </c>
      <c r="D33" s="248">
        <f>PI()*0.5^2/4*11454</f>
        <v>2248.987640888593</v>
      </c>
      <c r="E33" s="241"/>
      <c r="F33" s="241"/>
      <c r="G33" s="241"/>
      <c r="H33" s="241"/>
      <c r="I33" s="241"/>
      <c r="J33" s="241"/>
      <c r="K33" s="241"/>
      <c r="L33" s="241"/>
      <c r="M33" s="241"/>
      <c r="N33" s="241">
        <f t="shared" si="3"/>
        <v>0</v>
      </c>
      <c r="O33" s="241"/>
      <c r="P33" s="241"/>
      <c r="Q33" s="241"/>
      <c r="R33" s="241"/>
      <c r="S33" s="241">
        <f t="shared" si="1"/>
        <v>0</v>
      </c>
      <c r="T33" s="241"/>
      <c r="U33" s="241"/>
      <c r="V33" s="241"/>
      <c r="W33" s="248">
        <v>11454</v>
      </c>
      <c r="X33" s="241"/>
      <c r="Y33" s="241"/>
      <c r="Z33" s="241"/>
      <c r="AA33" s="241"/>
      <c r="AB33" s="241"/>
      <c r="AC33" s="16" t="s">
        <v>442</v>
      </c>
      <c r="AD33" s="243" t="s">
        <v>443</v>
      </c>
    </row>
    <row r="34" spans="1:31" s="244" customFormat="1" ht="28.7" outlineLevel="1" x14ac:dyDescent="0.5">
      <c r="A34" s="238" t="s">
        <v>140</v>
      </c>
      <c r="B34" s="247" t="s">
        <v>133</v>
      </c>
      <c r="C34" s="16" t="s">
        <v>134</v>
      </c>
      <c r="D34" s="248">
        <f>PI()*0.5^2/4*8541</f>
        <v>1677.0214283944015</v>
      </c>
      <c r="E34" s="240">
        <v>279</v>
      </c>
      <c r="F34" s="241"/>
      <c r="G34" s="241"/>
      <c r="H34" s="241"/>
      <c r="I34" s="241"/>
      <c r="J34" s="241"/>
      <c r="K34" s="241"/>
      <c r="L34" s="241"/>
      <c r="M34" s="241"/>
      <c r="N34" s="241">
        <f t="shared" si="3"/>
        <v>0</v>
      </c>
      <c r="O34" s="241"/>
      <c r="P34" s="241"/>
      <c r="Q34" s="241"/>
      <c r="R34" s="241"/>
      <c r="S34" s="241">
        <f t="shared" si="1"/>
        <v>0</v>
      </c>
      <c r="T34" s="241"/>
      <c r="U34" s="241"/>
      <c r="V34" s="241"/>
      <c r="W34" s="248">
        <v>8541</v>
      </c>
      <c r="X34" s="241"/>
      <c r="Y34" s="241"/>
      <c r="Z34" s="241"/>
      <c r="AA34" s="241"/>
      <c r="AB34" s="241"/>
      <c r="AC34" s="16" t="s">
        <v>444</v>
      </c>
      <c r="AD34" s="243" t="s">
        <v>445</v>
      </c>
      <c r="AE34" t="s">
        <v>446</v>
      </c>
    </row>
    <row r="35" spans="1:31" s="244" customFormat="1" ht="28.7" outlineLevel="1" x14ac:dyDescent="0.5">
      <c r="A35" s="238" t="s">
        <v>140</v>
      </c>
      <c r="B35" s="247" t="s">
        <v>146</v>
      </c>
      <c r="C35" s="16" t="s">
        <v>134</v>
      </c>
      <c r="D35" s="248">
        <f>PI()*0.5^2/4*4161</f>
        <v>817.01043947419555</v>
      </c>
      <c r="E35" s="240">
        <v>175.02</v>
      </c>
      <c r="F35" s="241"/>
      <c r="G35" s="241"/>
      <c r="H35" s="241"/>
      <c r="I35" s="241"/>
      <c r="J35" s="241"/>
      <c r="K35" s="241"/>
      <c r="L35" s="241"/>
      <c r="M35" s="241"/>
      <c r="N35" s="241">
        <f t="shared" si="3"/>
        <v>0</v>
      </c>
      <c r="O35" s="241"/>
      <c r="P35" s="241"/>
      <c r="Q35" s="241"/>
      <c r="R35" s="241"/>
      <c r="S35" s="241">
        <f t="shared" si="1"/>
        <v>0</v>
      </c>
      <c r="T35" s="241"/>
      <c r="U35" s="241"/>
      <c r="V35" s="241"/>
      <c r="W35" s="248">
        <v>4161</v>
      </c>
      <c r="X35" s="241"/>
      <c r="Y35" s="241"/>
      <c r="Z35" s="241"/>
      <c r="AA35" s="241"/>
      <c r="AB35" s="241"/>
      <c r="AC35" s="16" t="s">
        <v>447</v>
      </c>
      <c r="AD35" s="243" t="s">
        <v>448</v>
      </c>
      <c r="AE35" t="s">
        <v>449</v>
      </c>
    </row>
    <row r="36" spans="1:31" ht="392.7" x14ac:dyDescent="0.5">
      <c r="A36" s="254" t="s">
        <v>140</v>
      </c>
      <c r="B36" s="255" t="str">
        <f>CONCATENATE(1,B20,",",2,B21,",",3,B22,",",4,B23,",",5,B24,",",6,B25,",",7,B26,",",8,B27,",",9,B28,",",10,B29,",",11,B30,",",12,B31,",",13,B32,",",14,B33,",",15,B34,",",16,B35)</f>
        <v>1RESTORATION AND LINING OF SONE WESTERN LINK CANAL,2CONSTRUCTION OF CANAL AND ITS LINING WORK AND STRUCTURES FROM R.D. 806.40 TO R.D. 827.70 UNDER TIRHUT MAIN CANAL,3Lining work of Chausa Branch Canal from 0.000 Km to 12.924 Km &amp; Restoration of Kochas and Indaur Distributary under Ganga Pump Canal Division, Chausa Buxar,4Widening and Strenthening of Road from Basariya, NH-28 to Sarairanjan, NH-103 via Ramnagar chowk (Bella-Megh chowk), Jhakhra, Sarairanjan, Saraiya, Morwa under Road Division, Rosera from Ch. Km. 5.600 to 12.270 for the year 2018-19.,5Widening &amp; Strengthening work of Vishwakarma Chowk to Guabadi,Narayanpipar, Chaurahi Block Head Via-Bakhadda Chowk of Cheriya Bariyarpur Block for the year 2019-20.,6 Long Term Output and Performance based Road Maintenance work for the roads  Package No.9A/OPRMC2/Benipur.,7Widening &amp; Strengthening of Dharraura Chowk to Mazampur Bajidpur-Bahera Jhanjharpur road in km 0.0 to 11.64 in darbhanga district under Road Division, Benipur for the year 2019-20,8Widening &amp; Strengthening of Supaul to Bauram Road in Km 0.00 to 12.20 under Road Division Benipur for the year 2019-20,9Widening and Strengthening (from Single Lane to Double Lane) of Turki (N.H.-77)-Saraiya (N.H.-102) Road (Km 0.000 to Km 21.825) under PMGSY (RCP-LWE) in the district of Muzaffarpur, Bihar for the year 2019-20 (Package No. BR23RC-119 ),10Widening &amp; Strengthening of Magardahi Ghat to Siliut (Durga Asthan) road in Km. 0.00 to 5.00 (Total Length 5.00 Km) for the Year 2019-20,11Widening &amp; Strengthening of Muktapur-Warisnagar-Bhadohighat-Hatauri Road in Km. 00 to 23.300 (Total Length - 23.30 Km) for the year 2019-20,12Construction and upgradation of existing Road along Indo-Nepal Border Road Project from Kanhauli to Sursand (Length=49.150 km) Under Sitamarhi District for the year 2019-20,13Civil Works including Building and U.G.Piping Works for HURL Project, Barauni. SUBCONTRACT FROM TECHNIP INDIA LIMITED,14Subcontract for Piling Works for OHCU Project, IOCL Barauni,15Subcontract for Piling Works of DHDT Unit at IOCL BARAUNI,16Subcontract for Piling Work for NHT-ll + ISOM-ll Unit at IOCL, Barauni, Bihar</v>
      </c>
      <c r="C36" s="255" t="str">
        <f>CONCATENATE(1,C20,",",2,C21,",",3,C22,",",4,C23,",",5,C24,",",6,C25,",",7,C26,",",8,C27,",",9,C28,",",10,C29,",",11,C30,",",12,C31,",",13,C32,",",14,C33,",",15,C34,",",16,C35)</f>
        <v>1EE, SONE BARRAGE DIVISION, INDRAPURI,2EE, Tirhut Canal Division, Motipur, Camp- Muzaffarpur,3EE, GANGA PUMP CANAL DIVISION, BUXAR,4EE, RCD, ROSERA,5EE, RCD, BEGUSARAI,6EE,RCD BENIPUR, DARBHANGA,7EE,RCD BENIPUR, DARBHANGA,8EE,RCD BENIPUR, DARBHANGA,9EE, RCD, RD-1, Muzaffarpur,10EE, RCD, SAMASTIPUR,11EE, RCD, SAMASTIPUR,12EE, RCD, SITAMARHI,13Technip India Limited,14Technip Energies India Limited, NOIDA,15CB&amp;I India Private Limited (MCDERMOTT),16CB&amp;I India Private Limited (MCDERMOTT)</v>
      </c>
      <c r="D36" s="256">
        <f t="shared" ref="D36:AB36" si="4">SUM(D20:D35)</f>
        <v>53917.179308757193</v>
      </c>
      <c r="E36" s="256">
        <f t="shared" si="4"/>
        <v>768.47579999999994</v>
      </c>
      <c r="F36" s="256">
        <f t="shared" si="4"/>
        <v>2314.9549999999999</v>
      </c>
      <c r="G36" s="256">
        <f t="shared" si="4"/>
        <v>0</v>
      </c>
      <c r="H36" s="256">
        <f t="shared" si="4"/>
        <v>1231155.9151960001</v>
      </c>
      <c r="I36" s="256">
        <f t="shared" si="4"/>
        <v>14223.012490800002</v>
      </c>
      <c r="J36" s="256">
        <f t="shared" si="4"/>
        <v>16.658999999999999</v>
      </c>
      <c r="K36" s="256">
        <f t="shared" si="4"/>
        <v>53137.913123999999</v>
      </c>
      <c r="L36" s="256">
        <f t="shared" si="4"/>
        <v>1498.309</v>
      </c>
      <c r="M36" s="256">
        <f t="shared" si="4"/>
        <v>33943.637999999999</v>
      </c>
      <c r="N36" s="256">
        <f t="shared" si="4"/>
        <v>88579.860123999984</v>
      </c>
      <c r="O36" s="256">
        <f t="shared" si="4"/>
        <v>0</v>
      </c>
      <c r="P36" s="256">
        <f t="shared" si="4"/>
        <v>0</v>
      </c>
      <c r="Q36" s="256">
        <f t="shared" si="4"/>
        <v>9866.6975000000002</v>
      </c>
      <c r="R36" s="256">
        <f t="shared" si="4"/>
        <v>10257.050000000001</v>
      </c>
      <c r="S36" s="256">
        <f t="shared" si="4"/>
        <v>20123.747499999998</v>
      </c>
      <c r="T36" s="256">
        <f t="shared" si="4"/>
        <v>0</v>
      </c>
      <c r="U36" s="256">
        <f t="shared" si="4"/>
        <v>0</v>
      </c>
      <c r="V36" s="256">
        <f>SUM(V20:V35)</f>
        <v>10567.978548000001</v>
      </c>
      <c r="W36" s="256">
        <f t="shared" si="4"/>
        <v>24156</v>
      </c>
      <c r="X36" s="256">
        <f t="shared" si="4"/>
        <v>0</v>
      </c>
      <c r="Y36" s="256">
        <f t="shared" si="4"/>
        <v>5857.5</v>
      </c>
      <c r="Z36" s="256">
        <f t="shared" si="4"/>
        <v>0</v>
      </c>
      <c r="AA36" s="256">
        <f t="shared" si="4"/>
        <v>0</v>
      </c>
      <c r="AB36" s="256">
        <f t="shared" si="4"/>
        <v>26981994</v>
      </c>
      <c r="AC36" s="257" t="str">
        <f>CONCATENATE(AC20,",",AC21,",",AC22,",",AC23,",",AC24,",",AC25,",",AC26,",",AC27,",",AC28,",",AC29,",",AC30,",",AC31,",",AC32,",",AC33,",",AC34,",",AC35)</f>
        <v>02/SBD/2016-17 DATED 2.2.2017 BLPL SHARE 27.5%+69.7% subcontract from Lead Member of JV),01/SBD/2017-18 DATED 22.11.2017,01/SBD/2017-18 DATED 4.11.2017,01 (SBD) of 2020-21 dt. 29.05.2020,03/2019-20 DT. 04.12.2019,4/MBD/2018-19 DT. 12.02.2019,18 SBD of 2019-20 dt. 13.03.2020,04SBD/2020-21 dt 20.07.2020,SBD-09 LWE OF 2020-21 DT 1112.2020,08/EPC of 2020-21 dt. 24.12.2020,07/SBD of 2020-21 dt. 22.09.2020,02SBD/2021-22 DATED 24.06.2021,C100006467 dated 07.01.19 Ammend-7 dt. 30.05.2023,C100008901 DT. 19.06.2021 ammendment 3 dt. 16.03.2023 RA BILL 09 TILL 31.03.22,356420-SC-03/540493 DT. 04.08.2021
CHANGE ORDER-03 DT. 17.11.20223,241222-SC-04/560515 DT. 12.11.2021
CHANGE ORDER-04 DT. 03.04.2024</v>
      </c>
      <c r="AD36" s="258"/>
    </row>
    <row r="37" spans="1:31" s="244" customFormat="1" ht="38" outlineLevel="1" x14ac:dyDescent="0.5">
      <c r="A37" s="238" t="s">
        <v>307</v>
      </c>
      <c r="B37" s="239" t="s">
        <v>69</v>
      </c>
      <c r="C37" s="239" t="s">
        <v>70</v>
      </c>
      <c r="D37" s="240">
        <f>(3069.28+872.1)*(27.5%+69.7%)</f>
        <v>3831.0213600000006</v>
      </c>
      <c r="E37" s="240">
        <v>64.498999999999995</v>
      </c>
      <c r="F37" s="241"/>
      <c r="G37" s="241"/>
      <c r="H37" s="240">
        <f>12845.518*(27.5%+69.7%)</f>
        <v>12485.843496000001</v>
      </c>
      <c r="I37" s="240">
        <f>31998.87*(27.5%+69.7%)</f>
        <v>31102.90164</v>
      </c>
      <c r="J37" s="241"/>
      <c r="K37" s="240">
        <f>97.132*(27.5%+69.7%)</f>
        <v>94.41230400000002</v>
      </c>
      <c r="L37" s="241"/>
      <c r="M37" s="241"/>
      <c r="N37" s="241">
        <f t="shared" ref="N37:N49" si="5">K37+L37+M37</f>
        <v>94.41230400000002</v>
      </c>
      <c r="O37" s="241"/>
      <c r="P37" s="241"/>
      <c r="Q37" s="241"/>
      <c r="R37" s="241"/>
      <c r="S37" s="241">
        <f t="shared" si="1"/>
        <v>0</v>
      </c>
      <c r="T37" s="241"/>
      <c r="U37" s="241"/>
      <c r="V37" s="242">
        <f>360*(27.5%+69.7%)</f>
        <v>349.92</v>
      </c>
      <c r="W37" s="241"/>
      <c r="X37" s="241"/>
      <c r="Y37" s="241"/>
      <c r="Z37" s="241"/>
      <c r="AA37" s="241"/>
      <c r="AB37" s="241"/>
      <c r="AC37" s="238" t="s">
        <v>397</v>
      </c>
      <c r="AD37" s="243" t="s">
        <v>398</v>
      </c>
    </row>
    <row r="38" spans="1:31" ht="38" outlineLevel="1" x14ac:dyDescent="0.5">
      <c r="A38" s="238" t="s">
        <v>307</v>
      </c>
      <c r="B38" s="239" t="s">
        <v>183</v>
      </c>
      <c r="C38" s="239" t="s">
        <v>184</v>
      </c>
      <c r="D38" s="240">
        <f>3131.93+1880.36</f>
        <v>5012.29</v>
      </c>
      <c r="E38" s="245"/>
      <c r="F38" s="240">
        <v>507.5</v>
      </c>
      <c r="G38" s="245"/>
      <c r="H38" s="240">
        <v>34920.89</v>
      </c>
      <c r="I38" s="245"/>
      <c r="J38" s="245"/>
      <c r="K38" s="245"/>
      <c r="L38" s="245"/>
      <c r="M38" s="245"/>
      <c r="N38" s="241">
        <f t="shared" si="5"/>
        <v>0</v>
      </c>
      <c r="O38" s="245"/>
      <c r="P38" s="245"/>
      <c r="Q38" s="245"/>
      <c r="R38" s="245"/>
      <c r="S38" s="241">
        <f t="shared" si="1"/>
        <v>0</v>
      </c>
      <c r="T38" s="245"/>
      <c r="U38" s="245"/>
      <c r="V38" s="245"/>
      <c r="W38" s="245"/>
      <c r="X38" s="245"/>
      <c r="Y38" s="245"/>
      <c r="Z38" s="245"/>
      <c r="AA38" s="245"/>
      <c r="AB38" s="245"/>
      <c r="AC38" s="238" t="s">
        <v>185</v>
      </c>
      <c r="AD38" s="243" t="s">
        <v>434</v>
      </c>
      <c r="AE38" s="253" t="s">
        <v>450</v>
      </c>
    </row>
    <row r="39" spans="1:31" s="244" customFormat="1" ht="38" outlineLevel="1" x14ac:dyDescent="0.5">
      <c r="A39" s="238" t="s">
        <v>307</v>
      </c>
      <c r="B39" s="239" t="s">
        <v>400</v>
      </c>
      <c r="C39" s="239" t="s">
        <v>401</v>
      </c>
      <c r="D39" s="240">
        <f>6066.004+243.714</f>
        <v>6309.7179999999998</v>
      </c>
      <c r="E39" s="241"/>
      <c r="F39" s="240">
        <v>1809.43</v>
      </c>
      <c r="G39" s="241"/>
      <c r="H39" s="240">
        <v>11983.547</v>
      </c>
      <c r="I39" s="241"/>
      <c r="J39" s="241"/>
      <c r="K39" s="241"/>
      <c r="L39" s="241"/>
      <c r="M39" s="241"/>
      <c r="N39" s="241">
        <f t="shared" si="5"/>
        <v>0</v>
      </c>
      <c r="O39" s="241"/>
      <c r="P39" s="241"/>
      <c r="Q39" s="241"/>
      <c r="R39" s="241"/>
      <c r="S39" s="241">
        <f t="shared" si="1"/>
        <v>0</v>
      </c>
      <c r="T39" s="241"/>
      <c r="U39" s="241"/>
      <c r="V39" s="241"/>
      <c r="W39" s="241"/>
      <c r="X39" s="241"/>
      <c r="Y39" s="241"/>
      <c r="Z39" s="241"/>
      <c r="AA39" s="241"/>
      <c r="AB39" s="241"/>
      <c r="AC39" s="238" t="s">
        <v>402</v>
      </c>
      <c r="AD39" s="243" t="s">
        <v>435</v>
      </c>
      <c r="AE39" s="11" t="s">
        <v>403</v>
      </c>
    </row>
    <row r="40" spans="1:31" ht="25.35" outlineLevel="1" x14ac:dyDescent="0.5">
      <c r="A40" s="238" t="s">
        <v>307</v>
      </c>
      <c r="B40" s="239" t="s">
        <v>194</v>
      </c>
      <c r="C40" s="239" t="s">
        <v>409</v>
      </c>
      <c r="D40" s="240">
        <v>305.21600000000001</v>
      </c>
      <c r="E40" s="241"/>
      <c r="F40" s="241"/>
      <c r="G40" s="241"/>
      <c r="H40" s="241">
        <v>0</v>
      </c>
      <c r="I40" s="245"/>
      <c r="J40" s="241">
        <v>0</v>
      </c>
      <c r="K40" s="240">
        <v>78.811999999999998</v>
      </c>
      <c r="L40" s="245"/>
      <c r="M40" s="241">
        <v>0</v>
      </c>
      <c r="N40" s="241">
        <f t="shared" si="5"/>
        <v>78.811999999999998</v>
      </c>
      <c r="O40" s="245"/>
      <c r="P40" s="245"/>
      <c r="Q40" s="245"/>
      <c r="R40" s="241">
        <v>0</v>
      </c>
      <c r="S40" s="241">
        <f t="shared" si="1"/>
        <v>0</v>
      </c>
      <c r="T40" s="245"/>
      <c r="U40" s="245"/>
      <c r="V40" s="245"/>
      <c r="W40" s="245"/>
      <c r="X40" s="245"/>
      <c r="Y40" s="241">
        <v>0</v>
      </c>
      <c r="Z40" s="245"/>
      <c r="AA40" s="245"/>
      <c r="AB40" s="245"/>
      <c r="AC40" s="238" t="s">
        <v>410</v>
      </c>
      <c r="AD40" s="243" t="s">
        <v>451</v>
      </c>
      <c r="AE40" t="s">
        <v>452</v>
      </c>
    </row>
    <row r="41" spans="1:31" ht="25.35" outlineLevel="1" x14ac:dyDescent="0.5">
      <c r="A41" s="238" t="s">
        <v>307</v>
      </c>
      <c r="B41" s="239" t="s">
        <v>416</v>
      </c>
      <c r="C41" s="239" t="s">
        <v>409</v>
      </c>
      <c r="D41" s="240">
        <f>456.163+1064.086+1182.369+591.688+341.7+1889.25</f>
        <v>5525.2559999999994</v>
      </c>
      <c r="E41" s="240">
        <v>85.031999999999996</v>
      </c>
      <c r="F41" s="241"/>
      <c r="G41" s="241"/>
      <c r="H41" s="240">
        <v>29340.904000000002</v>
      </c>
      <c r="I41" s="245"/>
      <c r="J41" s="241"/>
      <c r="K41" s="240">
        <v>9009.0540000000001</v>
      </c>
      <c r="L41" s="245"/>
      <c r="M41" s="240">
        <v>11007.124</v>
      </c>
      <c r="N41" s="241">
        <f t="shared" si="5"/>
        <v>20016.178</v>
      </c>
      <c r="O41" s="245"/>
      <c r="P41" s="245"/>
      <c r="Q41" s="240">
        <v>2238.48</v>
      </c>
      <c r="R41" s="240">
        <v>1121.7260000000001</v>
      </c>
      <c r="S41" s="241">
        <f t="shared" si="1"/>
        <v>3360.2060000000001</v>
      </c>
      <c r="T41" s="245"/>
      <c r="U41" s="245"/>
      <c r="V41" s="245"/>
      <c r="W41" s="245"/>
      <c r="X41" s="245"/>
      <c r="Y41" s="241"/>
      <c r="Z41" s="245"/>
      <c r="AA41" s="245"/>
      <c r="AB41" s="245"/>
      <c r="AC41" s="238" t="s">
        <v>417</v>
      </c>
      <c r="AD41" s="243" t="s">
        <v>418</v>
      </c>
    </row>
    <row r="42" spans="1:31" ht="55.85" customHeight="1" outlineLevel="1" x14ac:dyDescent="0.5">
      <c r="A42" s="238" t="s">
        <v>307</v>
      </c>
      <c r="B42" s="239" t="s">
        <v>107</v>
      </c>
      <c r="C42" s="247" t="s">
        <v>108</v>
      </c>
      <c r="D42" s="240">
        <f>660.4+189.3+157.99+16.96+285.38</f>
        <v>1310.0300000000002</v>
      </c>
      <c r="E42" s="240">
        <v>79.112899999999996</v>
      </c>
      <c r="F42" s="241"/>
      <c r="G42" s="241"/>
      <c r="H42" s="240">
        <v>60567.535000000003</v>
      </c>
      <c r="I42" s="245"/>
      <c r="J42" s="241"/>
      <c r="K42" s="240">
        <v>3613.6</v>
      </c>
      <c r="L42" s="245"/>
      <c r="M42" s="240">
        <v>4134.8500000000004</v>
      </c>
      <c r="N42" s="241">
        <f t="shared" si="5"/>
        <v>7748.4500000000007</v>
      </c>
      <c r="O42" s="245"/>
      <c r="P42" s="240">
        <v>4495.67</v>
      </c>
      <c r="Q42" s="240">
        <v>6438.07</v>
      </c>
      <c r="R42" s="241"/>
      <c r="S42" s="241">
        <f t="shared" si="1"/>
        <v>10933.74</v>
      </c>
      <c r="T42" s="245"/>
      <c r="U42" s="245"/>
      <c r="V42" s="245"/>
      <c r="W42" s="245"/>
      <c r="X42" s="245"/>
      <c r="Y42" s="241"/>
      <c r="Z42" s="245"/>
      <c r="AA42" s="245"/>
      <c r="AB42" s="245"/>
      <c r="AC42" s="16" t="s">
        <v>420</v>
      </c>
      <c r="AD42" s="243" t="s">
        <v>421</v>
      </c>
      <c r="AE42" t="s">
        <v>422</v>
      </c>
    </row>
    <row r="43" spans="1:31" ht="25.35" outlineLevel="1" x14ac:dyDescent="0.5">
      <c r="A43" s="238" t="s">
        <v>307</v>
      </c>
      <c r="B43" s="239" t="s">
        <v>423</v>
      </c>
      <c r="C43" s="239" t="s">
        <v>179</v>
      </c>
      <c r="D43" s="241">
        <v>0</v>
      </c>
      <c r="E43" s="241"/>
      <c r="F43" s="241"/>
      <c r="G43" s="241"/>
      <c r="H43" s="241"/>
      <c r="I43" s="245"/>
      <c r="J43" s="241"/>
      <c r="K43" s="240">
        <v>204.36</v>
      </c>
      <c r="L43" s="245"/>
      <c r="M43" s="240">
        <v>952.54</v>
      </c>
      <c r="N43" s="241">
        <f t="shared" si="5"/>
        <v>1156.9000000000001</v>
      </c>
      <c r="O43" s="245"/>
      <c r="P43" s="245"/>
      <c r="Q43" s="240">
        <v>1260.51</v>
      </c>
      <c r="R43" s="240">
        <v>1056.7750000000001</v>
      </c>
      <c r="S43" s="241">
        <f t="shared" si="1"/>
        <v>2317.2849999999999</v>
      </c>
      <c r="T43" s="245"/>
      <c r="U43" s="245"/>
      <c r="V43" s="240">
        <v>1091.2</v>
      </c>
      <c r="W43" s="241"/>
      <c r="X43" s="241"/>
      <c r="Y43" s="241"/>
      <c r="Z43" s="245"/>
      <c r="AA43" s="245"/>
      <c r="AB43" s="245"/>
      <c r="AC43" s="238" t="s">
        <v>424</v>
      </c>
      <c r="AD43" s="243" t="s">
        <v>425</v>
      </c>
      <c r="AE43" t="s">
        <v>426</v>
      </c>
    </row>
    <row r="44" spans="1:31" ht="25.35" outlineLevel="1" x14ac:dyDescent="0.5">
      <c r="A44" s="238" t="s">
        <v>307</v>
      </c>
      <c r="B44" s="239" t="s">
        <v>427</v>
      </c>
      <c r="C44" s="239" t="s">
        <v>179</v>
      </c>
      <c r="D44" s="240">
        <f>3319.87+475.445</f>
        <v>3795.3150000000001</v>
      </c>
      <c r="E44" s="241"/>
      <c r="F44" s="241"/>
      <c r="G44" s="241"/>
      <c r="H44" s="240">
        <v>56053.123</v>
      </c>
      <c r="I44" s="245"/>
      <c r="J44" s="241"/>
      <c r="K44" s="240">
        <v>1949.61</v>
      </c>
      <c r="L44" s="245"/>
      <c r="M44" s="240">
        <v>6754.9</v>
      </c>
      <c r="N44" s="241">
        <f t="shared" si="5"/>
        <v>8704.51</v>
      </c>
      <c r="O44" s="245"/>
      <c r="P44" s="245"/>
      <c r="Q44" s="240">
        <v>3146.9110000000001</v>
      </c>
      <c r="R44" s="240">
        <v>2698.88</v>
      </c>
      <c r="S44" s="241">
        <f t="shared" si="1"/>
        <v>5845.7910000000002</v>
      </c>
      <c r="T44" s="245"/>
      <c r="U44" s="245"/>
      <c r="V44" s="245"/>
      <c r="W44" s="245"/>
      <c r="X44" s="245"/>
      <c r="Y44" s="241"/>
      <c r="Z44" s="245"/>
      <c r="AA44" s="245"/>
      <c r="AB44" s="245"/>
      <c r="AC44" s="238" t="s">
        <v>428</v>
      </c>
      <c r="AD44" s="243" t="s">
        <v>429</v>
      </c>
      <c r="AE44" t="s">
        <v>430</v>
      </c>
    </row>
    <row r="45" spans="1:31" s="244" customFormat="1" ht="38" outlineLevel="1" x14ac:dyDescent="0.5">
      <c r="A45" s="238" t="s">
        <v>307</v>
      </c>
      <c r="B45" s="239" t="s">
        <v>205</v>
      </c>
      <c r="C45" s="239" t="s">
        <v>206</v>
      </c>
      <c r="D45" s="240">
        <f>264.84+1944.72+64.8+178.5</f>
        <v>2452.86</v>
      </c>
      <c r="E45" s="240">
        <v>127.57599999999999</v>
      </c>
      <c r="F45" s="241"/>
      <c r="G45" s="241"/>
      <c r="H45" s="240">
        <f>38894.02+31457.25+1385.191</f>
        <v>71736.460999999996</v>
      </c>
      <c r="I45" s="241"/>
      <c r="J45" s="241"/>
      <c r="K45" s="240">
        <v>10413.6</v>
      </c>
      <c r="L45" s="241"/>
      <c r="M45" s="240">
        <v>3391.875</v>
      </c>
      <c r="N45" s="241">
        <f t="shared" si="5"/>
        <v>13805.475</v>
      </c>
      <c r="O45" s="245"/>
      <c r="P45" s="245"/>
      <c r="Q45" s="245"/>
      <c r="R45" s="241"/>
      <c r="S45" s="241">
        <f t="shared" si="1"/>
        <v>0</v>
      </c>
      <c r="T45" s="241"/>
      <c r="U45" s="240">
        <v>151.19999999999999</v>
      </c>
      <c r="V45" s="241"/>
      <c r="W45" s="241"/>
      <c r="X45" s="241"/>
      <c r="Y45" s="241"/>
      <c r="Z45" s="241"/>
      <c r="AA45" s="241"/>
      <c r="AB45" s="241"/>
      <c r="AC45" s="238" t="s">
        <v>439</v>
      </c>
      <c r="AD45" s="243" t="s">
        <v>440</v>
      </c>
      <c r="AE45" s="253" t="s">
        <v>441</v>
      </c>
    </row>
    <row r="46" spans="1:31" ht="28.7" outlineLevel="1" x14ac:dyDescent="0.5">
      <c r="A46" s="238" t="s">
        <v>307</v>
      </c>
      <c r="B46" s="247" t="s">
        <v>125</v>
      </c>
      <c r="C46" s="16" t="s">
        <v>126</v>
      </c>
      <c r="D46" s="248">
        <v>2213.5569999999998</v>
      </c>
      <c r="E46" s="241">
        <v>165</v>
      </c>
      <c r="F46" s="241"/>
      <c r="G46" s="241"/>
      <c r="H46" s="241">
        <v>1119.068</v>
      </c>
      <c r="I46" s="245"/>
      <c r="J46" s="241"/>
      <c r="K46" s="241"/>
      <c r="L46" s="241">
        <v>1012.7619999999999</v>
      </c>
      <c r="M46" s="241"/>
      <c r="N46" s="241">
        <f t="shared" si="5"/>
        <v>1012.7619999999999</v>
      </c>
      <c r="O46" s="245"/>
      <c r="P46" s="245"/>
      <c r="Q46" s="245"/>
      <c r="R46" s="241"/>
      <c r="S46" s="241">
        <f t="shared" si="1"/>
        <v>0</v>
      </c>
      <c r="T46" s="245"/>
      <c r="U46" s="245"/>
      <c r="V46" s="245"/>
      <c r="W46" s="241"/>
      <c r="X46" s="241"/>
      <c r="Y46" s="241"/>
      <c r="Z46" s="245"/>
      <c r="AA46" s="245"/>
      <c r="AB46" s="245"/>
      <c r="AC46" s="16" t="s">
        <v>432</v>
      </c>
      <c r="AD46" s="243" t="s">
        <v>453</v>
      </c>
    </row>
    <row r="47" spans="1:31" s="244" customFormat="1" ht="28.7" outlineLevel="1" x14ac:dyDescent="0.5">
      <c r="A47" s="238" t="s">
        <v>307</v>
      </c>
      <c r="B47" s="247" t="s">
        <v>141</v>
      </c>
      <c r="C47" s="16" t="s">
        <v>142</v>
      </c>
      <c r="D47" s="248">
        <f>PI()*0.5^2/4*7349</f>
        <v>1442.9727757019618</v>
      </c>
      <c r="E47" s="241">
        <v>374</v>
      </c>
      <c r="F47" s="241"/>
      <c r="G47" s="241"/>
      <c r="H47" s="241"/>
      <c r="I47" s="241"/>
      <c r="J47" s="241"/>
      <c r="K47" s="241"/>
      <c r="L47" s="241"/>
      <c r="M47" s="241"/>
      <c r="N47" s="241">
        <f t="shared" si="5"/>
        <v>0</v>
      </c>
      <c r="O47" s="241"/>
      <c r="P47" s="241"/>
      <c r="Q47" s="241"/>
      <c r="R47" s="241"/>
      <c r="S47" s="241">
        <f t="shared" si="1"/>
        <v>0</v>
      </c>
      <c r="T47" s="241"/>
      <c r="U47" s="241"/>
      <c r="V47" s="241"/>
      <c r="W47" s="248">
        <v>7349</v>
      </c>
      <c r="X47" s="241"/>
      <c r="Y47" s="241"/>
      <c r="Z47" s="241"/>
      <c r="AA47" s="241"/>
      <c r="AB47" s="241"/>
      <c r="AC47" s="16" t="s">
        <v>454</v>
      </c>
      <c r="AD47" s="243" t="s">
        <v>455</v>
      </c>
    </row>
    <row r="48" spans="1:31" s="244" customFormat="1" ht="28.7" outlineLevel="1" x14ac:dyDescent="0.5">
      <c r="A48" s="238" t="s">
        <v>307</v>
      </c>
      <c r="B48" s="247" t="s">
        <v>133</v>
      </c>
      <c r="C48" s="16" t="s">
        <v>134</v>
      </c>
      <c r="D48" s="248">
        <f>PI()*0.5^2/4*20759</f>
        <v>4076.0201184919074</v>
      </c>
      <c r="E48" s="240">
        <v>483.06</v>
      </c>
      <c r="F48" s="241"/>
      <c r="G48" s="241"/>
      <c r="H48" s="241"/>
      <c r="I48" s="241"/>
      <c r="J48" s="241"/>
      <c r="K48" s="241"/>
      <c r="L48" s="241"/>
      <c r="M48" s="241"/>
      <c r="N48" s="241">
        <f t="shared" si="5"/>
        <v>0</v>
      </c>
      <c r="O48" s="241"/>
      <c r="P48" s="241"/>
      <c r="Q48" s="241"/>
      <c r="R48" s="241"/>
      <c r="S48" s="241">
        <f t="shared" si="1"/>
        <v>0</v>
      </c>
      <c r="T48" s="241"/>
      <c r="U48" s="241"/>
      <c r="V48" s="241"/>
      <c r="W48" s="248">
        <v>20759.240000000002</v>
      </c>
      <c r="X48" s="241"/>
      <c r="Y48" s="241"/>
      <c r="Z48" s="241"/>
      <c r="AA48" s="241"/>
      <c r="AB48" s="241"/>
      <c r="AC48" s="16" t="s">
        <v>444</v>
      </c>
      <c r="AD48" s="243" t="s">
        <v>445</v>
      </c>
      <c r="AE48" t="s">
        <v>446</v>
      </c>
    </row>
    <row r="49" spans="1:31" s="244" customFormat="1" ht="28.7" outlineLevel="1" x14ac:dyDescent="0.5">
      <c r="A49" s="238" t="s">
        <v>307</v>
      </c>
      <c r="B49" s="247" t="s">
        <v>146</v>
      </c>
      <c r="C49" s="16" t="s">
        <v>134</v>
      </c>
      <c r="D49" s="248">
        <f>PI()*0.5^2/4*10817</f>
        <v>2123.9129833675497</v>
      </c>
      <c r="E49" s="240">
        <v>277.33</v>
      </c>
      <c r="F49" s="241"/>
      <c r="G49" s="241"/>
      <c r="H49" s="241"/>
      <c r="I49" s="241"/>
      <c r="J49" s="241"/>
      <c r="K49" s="241"/>
      <c r="L49" s="241"/>
      <c r="M49" s="241"/>
      <c r="N49" s="241">
        <f t="shared" si="5"/>
        <v>0</v>
      </c>
      <c r="O49" s="241"/>
      <c r="P49" s="241"/>
      <c r="Q49" s="241"/>
      <c r="R49" s="241"/>
      <c r="S49" s="241">
        <f t="shared" si="1"/>
        <v>0</v>
      </c>
      <c r="T49" s="241"/>
      <c r="U49" s="241"/>
      <c r="V49" s="241"/>
      <c r="W49" s="248">
        <v>10817</v>
      </c>
      <c r="X49" s="241"/>
      <c r="Y49" s="241"/>
      <c r="Z49" s="241"/>
      <c r="AA49" s="241"/>
      <c r="AB49" s="241"/>
      <c r="AC49" s="16" t="s">
        <v>447</v>
      </c>
      <c r="AD49" s="243" t="s">
        <v>448</v>
      </c>
      <c r="AE49" t="s">
        <v>449</v>
      </c>
    </row>
    <row r="50" spans="1:31" ht="329.35" x14ac:dyDescent="0.5">
      <c r="A50" s="259" t="s">
        <v>307</v>
      </c>
      <c r="B50" s="260" t="str">
        <f>CONCATENATE(1,B37,",",2,B38,",",3,B39,",",4,B40,",",5,B41,",",6,B42,",",7,B43,",",8,B44,",",9,B45,",",10,B46,",",11,B47,",",12,B48,",",13,B49)</f>
        <v>1RESTORATION AND LINING OF SONE WESTERN LINK CANAL,2CONSTRUCTION OF CANAL AND ITS LINING WORK AND STRUCTURES FROM R.D. 806.40 TO R.D. 827.70 UNDER TIRHUT MAIN CANAL,3Lining work of Chausa Branch Canal from 0.000 Km to 12.924 Km &amp; Restoration of Kochas and Indaur Distributary under Ganga Pump Canal Division, Chausa Buxar,4 Long Term Output and Performance based Road Maintenance work for the roads  Package No.9A/OPRMC2/Benipur.,5Widening &amp; Strengthening of Supaul to Bauram Road in Km 0.00 to 12.20 under Road Division Benipur for the year 2019-20,6Widening and Strengthening (from Single Lane to Double Lane) of Turki (N.H.-77)-Saraiya (N.H.-102) Road (Km 0.000 to Km 21.825) under PMGSY (RCP-LWE) in the district of Muzaffarpur, Bihar for the year 2019-20 (Package No. BR23RC-119 ),7Widening &amp; Strengthening of Magardahi Ghat to Siliut (Durga Asthan) road in Km. 0.00 to 5.00 (Total Length 5.00 Km) for the Year 2019-20,8Widening &amp; Strengthening of Muktapur-Warisnagar-Bhadohighat-Hatauri Road in Km. 00 to 23.300 (Total Length - 23.30 Km) for the year 2019-20,9Construction and upgradation of existing Road along Indo-Nepal Border Road Project from Kanhauli to Sursand (Length=49.150 km) Under Sitamarhi District for the year 2019-20,10Civil Works including Building and U.G.Piping Works for HURL Project, Barauni. SUBCONTRACT FROM TECHNIP INDIA LIMITED,11Subcontract for Piling Works for OHCU Project, IOCL Barauni,12Subcontract for Piling Works of DHDT Unit at IOCL BARAUNI,13Subcontract for Piling Work for NHT-ll + ISOM-ll Unit at IOCL, Barauni, Bihar</v>
      </c>
      <c r="C50" s="260" t="str">
        <f>CONCATENATE(1,C37,",",2,C38,",",3,C39,",",4,C40,",",5,C41,",",6,C42,",",7,C43,",",8,C44,",",9,C45,",",10,C46,",",11,C47,",",12,C48,",",13,C49)</f>
        <v>1EE, SONE BARRAGE DIVISION, INDRAPURI,2EE, Tirhut Canal Division, Motipur, Camp- Muzaffarpur,3EE, GANGA PUMP CANAL DIVISION, BUXAR,4EE,RCD BENIPUR, DARBHANGA,5EE,RCD BENIPUR, DARBHANGA,6EE, RCD, RD-1, Muzaffarpur,7EE, RCD, SAMASTIPUR,8EE, RCD, SAMASTIPUR,9EE, RCD, SITAMARHI,10Technip India Limited,11Technip Energies India Limited, NOIDA,12CB&amp;I India Private Limited (MCDERMOTT),13CB&amp;I India Private Limited (MCDERMOTT)</v>
      </c>
      <c r="D50" s="261">
        <f>SUM(D37:D49)</f>
        <v>38398.169237561415</v>
      </c>
      <c r="E50" s="261">
        <f t="shared" ref="E50:AB50" si="6">SUM(E37:E49)</f>
        <v>1655.6098999999999</v>
      </c>
      <c r="F50" s="261">
        <f t="shared" si="6"/>
        <v>2316.9300000000003</v>
      </c>
      <c r="G50" s="261">
        <f t="shared" si="6"/>
        <v>0</v>
      </c>
      <c r="H50" s="261">
        <f t="shared" si="6"/>
        <v>278207.37149600004</v>
      </c>
      <c r="I50" s="261">
        <f t="shared" si="6"/>
        <v>31102.90164</v>
      </c>
      <c r="J50" s="261">
        <f t="shared" si="6"/>
        <v>0</v>
      </c>
      <c r="K50" s="261">
        <f t="shared" si="6"/>
        <v>25363.448304000001</v>
      </c>
      <c r="L50" s="261">
        <f t="shared" si="6"/>
        <v>1012.7619999999999</v>
      </c>
      <c r="M50" s="261">
        <f t="shared" si="6"/>
        <v>26241.288999999997</v>
      </c>
      <c r="N50" s="261">
        <f t="shared" si="6"/>
        <v>52617.499304000004</v>
      </c>
      <c r="O50" s="261">
        <f t="shared" si="6"/>
        <v>0</v>
      </c>
      <c r="P50" s="261">
        <f t="shared" si="6"/>
        <v>4495.67</v>
      </c>
      <c r="Q50" s="261">
        <f t="shared" si="6"/>
        <v>13083.971</v>
      </c>
      <c r="R50" s="261">
        <f t="shared" si="6"/>
        <v>4877.3810000000003</v>
      </c>
      <c r="S50" s="261">
        <f t="shared" si="6"/>
        <v>22457.022000000001</v>
      </c>
      <c r="T50" s="261">
        <f t="shared" si="6"/>
        <v>0</v>
      </c>
      <c r="U50" s="261">
        <f t="shared" si="6"/>
        <v>151.19999999999999</v>
      </c>
      <c r="V50" s="261">
        <f t="shared" si="6"/>
        <v>1441.1200000000001</v>
      </c>
      <c r="W50" s="261">
        <f t="shared" si="6"/>
        <v>38925.240000000005</v>
      </c>
      <c r="X50" s="261">
        <f t="shared" si="6"/>
        <v>0</v>
      </c>
      <c r="Y50" s="261">
        <f t="shared" si="6"/>
        <v>0</v>
      </c>
      <c r="Z50" s="261">
        <f t="shared" si="6"/>
        <v>0</v>
      </c>
      <c r="AA50" s="261">
        <f t="shared" si="6"/>
        <v>0</v>
      </c>
      <c r="AB50" s="261">
        <f t="shared" si="6"/>
        <v>0</v>
      </c>
      <c r="AC50" s="262" t="str">
        <f>CONCATENATE(AC37,",",AC38,",",AC39,",",AC40,",",AC41,",",AC42,",",AC43,",",AC44,",",AC45,",",AC46,",",AC47,",",AC48,",",AC49)</f>
        <v>02/SBD/2016-17 DATED 2.2.2017 BLPL SHARE 27.5%+69.7% subcontract from Lead Member of JV),01/SBD/2017-18 DATED 22.11.2017,01/SBD/2017-18 DATED 4.11.2017,4/MBD/2018-19 DT. 12.02.2019,04SBD/2020-21 dt 20.07.2020,SBD-09 LWE OF 2020-21 DT 1112.2020,08/EPC of 2020-21 dt. 24.12.2020,07/SBD of 2020-21 dt. 22.09.2020,02SBD/2021-22 DATED 24.06.2021,C100006467 dated 07.01.19 Ammend-7 dt. 30.05.2023,C100008901 DT. 19.06.2021 ammendment 3 dt. 16.03.2023 RA BILL 15 TILL 31.03.23,356420-SC-03/540493 DT. 04.08.2021
CHANGE ORDER-03 DT. 17.11.20223,241222-SC-04/560515 DT. 12.11.2021
CHANGE ORDER-04 DT. 03.04.2024</v>
      </c>
      <c r="AD50" s="262"/>
    </row>
    <row r="51" spans="1:31" ht="38" outlineLevel="1" x14ac:dyDescent="0.5">
      <c r="A51" s="238" t="s">
        <v>214</v>
      </c>
      <c r="B51" s="239" t="s">
        <v>183</v>
      </c>
      <c r="C51" s="239" t="s">
        <v>184</v>
      </c>
      <c r="D51" s="240">
        <f>3319.6+2844.65</f>
        <v>6164.25</v>
      </c>
      <c r="E51" s="245"/>
      <c r="F51" s="240">
        <v>1060.3900000000001</v>
      </c>
      <c r="G51" s="245"/>
      <c r="H51" s="240">
        <v>16161.47</v>
      </c>
      <c r="I51" s="245"/>
      <c r="J51" s="245"/>
      <c r="K51" s="245"/>
      <c r="L51" s="245"/>
      <c r="M51" s="245"/>
      <c r="N51" s="241">
        <f t="shared" ref="N51:N56" si="7">K51+L51+M51</f>
        <v>0</v>
      </c>
      <c r="O51" s="245"/>
      <c r="P51" s="245"/>
      <c r="Q51" s="245"/>
      <c r="R51" s="245"/>
      <c r="S51" s="241">
        <f t="shared" si="1"/>
        <v>0</v>
      </c>
      <c r="T51" s="245"/>
      <c r="U51" s="245"/>
      <c r="V51" s="245"/>
      <c r="W51" s="245"/>
      <c r="X51" s="245"/>
      <c r="Y51" s="245"/>
      <c r="Z51" s="245"/>
      <c r="AA51" s="245"/>
      <c r="AB51" s="245"/>
      <c r="AC51" s="238" t="s">
        <v>185</v>
      </c>
      <c r="AD51" s="243" t="s">
        <v>434</v>
      </c>
      <c r="AE51" s="253" t="s">
        <v>450</v>
      </c>
    </row>
    <row r="52" spans="1:31" s="244" customFormat="1" ht="38" outlineLevel="1" x14ac:dyDescent="0.5">
      <c r="A52" s="238" t="s">
        <v>214</v>
      </c>
      <c r="B52" s="239" t="s">
        <v>400</v>
      </c>
      <c r="C52" s="239" t="s">
        <v>401</v>
      </c>
      <c r="D52" s="240">
        <f>4571+259.915</f>
        <v>4830.915</v>
      </c>
      <c r="E52" s="241"/>
      <c r="F52" s="240">
        <v>2207.58</v>
      </c>
      <c r="G52" s="241"/>
      <c r="H52" s="240">
        <v>93270</v>
      </c>
      <c r="I52" s="241"/>
      <c r="J52" s="241"/>
      <c r="K52" s="241"/>
      <c r="L52" s="241"/>
      <c r="M52" s="241"/>
      <c r="N52" s="241">
        <f t="shared" si="7"/>
        <v>0</v>
      </c>
      <c r="O52" s="241"/>
      <c r="P52" s="241"/>
      <c r="Q52" s="241"/>
      <c r="R52" s="241"/>
      <c r="S52" s="241">
        <f t="shared" si="1"/>
        <v>0</v>
      </c>
      <c r="T52" s="241"/>
      <c r="U52" s="241"/>
      <c r="V52" s="241"/>
      <c r="W52" s="241"/>
      <c r="X52" s="241"/>
      <c r="Y52" s="241"/>
      <c r="Z52" s="241"/>
      <c r="AA52" s="241"/>
      <c r="AB52" s="241"/>
      <c r="AC52" s="238" t="s">
        <v>402</v>
      </c>
      <c r="AD52" s="243" t="s">
        <v>435</v>
      </c>
      <c r="AE52" s="253" t="s">
        <v>456</v>
      </c>
    </row>
    <row r="53" spans="1:31" ht="25.35" outlineLevel="1" x14ac:dyDescent="0.5">
      <c r="A53" s="238" t="s">
        <v>214</v>
      </c>
      <c r="B53" s="239" t="s">
        <v>416</v>
      </c>
      <c r="C53" s="239" t="s">
        <v>409</v>
      </c>
      <c r="D53" s="240">
        <f>888.696+90.06</f>
        <v>978.75600000000009</v>
      </c>
      <c r="E53" s="241"/>
      <c r="F53" s="241"/>
      <c r="G53" s="241"/>
      <c r="H53" s="240">
        <v>2691.84</v>
      </c>
      <c r="I53" s="245"/>
      <c r="J53" s="241"/>
      <c r="K53" s="240">
        <v>404.44900000000001</v>
      </c>
      <c r="L53" s="245"/>
      <c r="M53" s="241"/>
      <c r="N53" s="240">
        <f t="shared" si="7"/>
        <v>404.44900000000001</v>
      </c>
      <c r="O53" s="245"/>
      <c r="P53" s="245"/>
      <c r="Q53" s="240">
        <v>403.64600000000002</v>
      </c>
      <c r="R53" s="240">
        <v>198.22</v>
      </c>
      <c r="S53" s="241">
        <f t="shared" si="1"/>
        <v>601.86599999999999</v>
      </c>
      <c r="T53" s="245"/>
      <c r="U53" s="245"/>
      <c r="V53" s="240">
        <v>121.452</v>
      </c>
      <c r="W53" s="241"/>
      <c r="X53" s="241"/>
      <c r="Y53" s="241"/>
      <c r="Z53" s="245"/>
      <c r="AA53" s="245"/>
      <c r="AB53" s="245"/>
      <c r="AC53" s="238" t="s">
        <v>417</v>
      </c>
      <c r="AD53" s="243" t="s">
        <v>418</v>
      </c>
      <c r="AE53" t="s">
        <v>438</v>
      </c>
    </row>
    <row r="54" spans="1:31" ht="25.35" outlineLevel="1" x14ac:dyDescent="0.5">
      <c r="A54" s="238" t="s">
        <v>214</v>
      </c>
      <c r="B54" s="239" t="s">
        <v>423</v>
      </c>
      <c r="C54" s="239" t="s">
        <v>179</v>
      </c>
      <c r="D54" s="241">
        <v>0</v>
      </c>
      <c r="E54" s="241"/>
      <c r="F54" s="241"/>
      <c r="G54" s="241"/>
      <c r="H54" s="241"/>
      <c r="I54" s="245"/>
      <c r="J54" s="241"/>
      <c r="K54" s="241"/>
      <c r="L54" s="245"/>
      <c r="M54" s="241"/>
      <c r="N54" s="241">
        <f t="shared" si="7"/>
        <v>0</v>
      </c>
      <c r="O54" s="245"/>
      <c r="P54" s="245"/>
      <c r="Q54" s="241"/>
      <c r="R54" s="241"/>
      <c r="S54" s="241">
        <f t="shared" si="1"/>
        <v>0</v>
      </c>
      <c r="T54" s="245"/>
      <c r="U54" s="245"/>
      <c r="V54" s="240">
        <v>1800</v>
      </c>
      <c r="W54" s="241"/>
      <c r="X54" s="241"/>
      <c r="Y54" s="241"/>
      <c r="Z54" s="245"/>
      <c r="AA54" s="245"/>
      <c r="AB54" s="245"/>
      <c r="AC54" s="238" t="s">
        <v>424</v>
      </c>
      <c r="AD54" s="243" t="s">
        <v>425</v>
      </c>
      <c r="AE54" t="s">
        <v>426</v>
      </c>
    </row>
    <row r="55" spans="1:31" ht="25.35" outlineLevel="1" x14ac:dyDescent="0.5">
      <c r="A55" s="238" t="s">
        <v>214</v>
      </c>
      <c r="B55" s="239" t="s">
        <v>427</v>
      </c>
      <c r="C55" s="239" t="s">
        <v>179</v>
      </c>
      <c r="D55" s="241"/>
      <c r="E55" s="241"/>
      <c r="F55" s="241"/>
      <c r="G55" s="241"/>
      <c r="H55" s="240">
        <v>24088.967000000001</v>
      </c>
      <c r="I55" s="245"/>
      <c r="J55" s="241"/>
      <c r="K55" s="241"/>
      <c r="L55" s="245"/>
      <c r="M55" s="241"/>
      <c r="N55" s="241">
        <f t="shared" si="7"/>
        <v>0</v>
      </c>
      <c r="O55" s="245"/>
      <c r="P55" s="245"/>
      <c r="Q55" s="241"/>
      <c r="R55" s="241"/>
      <c r="S55" s="241">
        <f t="shared" si="1"/>
        <v>0</v>
      </c>
      <c r="T55" s="245"/>
      <c r="U55" s="245"/>
      <c r="V55" s="245"/>
      <c r="W55" s="245"/>
      <c r="X55" s="245"/>
      <c r="Y55" s="241"/>
      <c r="Z55" s="245"/>
      <c r="AA55" s="245"/>
      <c r="AB55" s="245"/>
      <c r="AC55" s="238" t="s">
        <v>428</v>
      </c>
      <c r="AD55" s="243" t="s">
        <v>429</v>
      </c>
      <c r="AE55" t="s">
        <v>430</v>
      </c>
    </row>
    <row r="56" spans="1:31" s="244" customFormat="1" ht="38" outlineLevel="1" x14ac:dyDescent="0.5">
      <c r="A56" s="238" t="s">
        <v>214</v>
      </c>
      <c r="B56" s="239" t="s">
        <v>205</v>
      </c>
      <c r="C56" s="239" t="s">
        <v>206</v>
      </c>
      <c r="D56" s="240">
        <f>792.52+4286.79+103.68+243.6</f>
        <v>5426.59</v>
      </c>
      <c r="E56" s="240">
        <v>364.73340000000002</v>
      </c>
      <c r="F56" s="241"/>
      <c r="G56" s="241"/>
      <c r="H56" s="240">
        <f>395809.49+219667.08+5390.384</f>
        <v>620866.95399999991</v>
      </c>
      <c r="I56" s="241"/>
      <c r="J56" s="241"/>
      <c r="K56" s="240">
        <v>45607.8</v>
      </c>
      <c r="L56" s="241"/>
      <c r="M56" s="240">
        <v>26367.965</v>
      </c>
      <c r="N56" s="241">
        <f t="shared" si="7"/>
        <v>71975.764999999999</v>
      </c>
      <c r="O56" s="241"/>
      <c r="P56" s="240">
        <v>1802.85</v>
      </c>
      <c r="Q56" s="240">
        <v>5150.95</v>
      </c>
      <c r="R56" s="241"/>
      <c r="S56" s="241">
        <f t="shared" si="1"/>
        <v>6953.7999999999993</v>
      </c>
      <c r="T56" s="241"/>
      <c r="U56" s="240">
        <v>1209.5999999999999</v>
      </c>
      <c r="V56" s="241"/>
      <c r="W56" s="241"/>
      <c r="X56" s="241"/>
      <c r="Y56" s="241"/>
      <c r="Z56" s="241"/>
      <c r="AA56" s="241"/>
      <c r="AB56" s="241"/>
      <c r="AC56" s="238" t="s">
        <v>439</v>
      </c>
      <c r="AD56" s="243" t="s">
        <v>440</v>
      </c>
      <c r="AE56" s="253" t="s">
        <v>441</v>
      </c>
    </row>
    <row r="57" spans="1:31" s="244" customFormat="1" ht="28.7" outlineLevel="1" x14ac:dyDescent="0.5">
      <c r="A57" s="238" t="s">
        <v>214</v>
      </c>
      <c r="B57" s="247" t="s">
        <v>141</v>
      </c>
      <c r="C57" s="16" t="s">
        <v>142</v>
      </c>
      <c r="D57" s="248">
        <f>PI()*0.5^2/4*191</f>
        <v>37.502762302228156</v>
      </c>
      <c r="E57" s="241"/>
      <c r="F57" s="241"/>
      <c r="G57" s="241"/>
      <c r="H57" s="241"/>
      <c r="I57" s="241"/>
      <c r="J57" s="241"/>
      <c r="K57" s="241"/>
      <c r="L57" s="241"/>
      <c r="M57" s="241"/>
      <c r="N57" s="241">
        <f>K57+L57+M57</f>
        <v>0</v>
      </c>
      <c r="O57" s="241"/>
      <c r="P57" s="241"/>
      <c r="Q57" s="241"/>
      <c r="R57" s="241"/>
      <c r="S57" s="241">
        <f t="shared" si="1"/>
        <v>0</v>
      </c>
      <c r="T57" s="241"/>
      <c r="U57" s="241"/>
      <c r="V57" s="241"/>
      <c r="W57" s="248">
        <v>191</v>
      </c>
      <c r="X57" s="241"/>
      <c r="Y57" s="241"/>
      <c r="Z57" s="241"/>
      <c r="AA57" s="241"/>
      <c r="AB57" s="241"/>
      <c r="AC57" s="16" t="s">
        <v>457</v>
      </c>
      <c r="AD57" s="243" t="s">
        <v>458</v>
      </c>
    </row>
    <row r="58" spans="1:31" s="244" customFormat="1" ht="28.7" outlineLevel="1" x14ac:dyDescent="0.5">
      <c r="A58" s="238" t="s">
        <v>214</v>
      </c>
      <c r="B58" s="247" t="s">
        <v>146</v>
      </c>
      <c r="C58" s="16" t="s">
        <v>134</v>
      </c>
      <c r="D58" s="248">
        <f>PI()*0.5^2/4*1226</f>
        <v>240.72453708131789</v>
      </c>
      <c r="E58" s="240">
        <v>224.13</v>
      </c>
      <c r="F58" s="241"/>
      <c r="G58" s="241"/>
      <c r="H58" s="240">
        <v>4394</v>
      </c>
      <c r="I58" s="241"/>
      <c r="J58" s="241"/>
      <c r="K58" s="241"/>
      <c r="L58" s="241"/>
      <c r="M58" s="241"/>
      <c r="N58" s="241">
        <f>K58+L58+M58</f>
        <v>0</v>
      </c>
      <c r="O58" s="241"/>
      <c r="P58" s="241"/>
      <c r="Q58" s="241"/>
      <c r="R58" s="241"/>
      <c r="S58" s="241">
        <f t="shared" si="1"/>
        <v>0</v>
      </c>
      <c r="T58" s="241"/>
      <c r="U58" s="241"/>
      <c r="V58" s="241"/>
      <c r="W58" s="248">
        <v>1225.83</v>
      </c>
      <c r="X58" s="240">
        <v>3.02</v>
      </c>
      <c r="Y58" s="241"/>
      <c r="Z58" s="241"/>
      <c r="AA58" s="241"/>
      <c r="AB58" s="241"/>
      <c r="AC58" s="16" t="s">
        <v>447</v>
      </c>
      <c r="AD58" s="243" t="s">
        <v>448</v>
      </c>
      <c r="AE58" s="244" t="s">
        <v>446</v>
      </c>
    </row>
    <row r="59" spans="1:31" ht="152" x14ac:dyDescent="0.5">
      <c r="A59" s="263" t="s">
        <v>214</v>
      </c>
      <c r="B59" s="264" t="str">
        <f>CONCATENATE(1,B53,",",2,B54,",",3,B55,",",4,B56,",",5,B57,",",6,B58)</f>
        <v>1Widening &amp; Strengthening of Supaul to Bauram Road in Km 0.00 to 12.20 under Road Division Benipur for the year 2019-20,2Widening &amp; Strengthening of Magardahi Ghat to Siliut (Durga Asthan) road in Km. 0.00 to 5.00 (Total Length 5.00 Km) for the Year 2019-20,3Widening &amp; Strengthening of Muktapur-Warisnagar-Bhadohighat-Hatauri Road in Km. 00 to 23.300 (Total Length - 23.30 Km) for the year 2019-20,4Construction and upgradation of existing Road along Indo-Nepal Border Road Project from Kanhauli to Sursand (Length=49.150 km) Under Sitamarhi District for the year 2019-20,5Subcontract for Piling Works for OHCU Project, IOCL Barauni,6Subcontract for Piling Work for NHT-ll + ISOM-ll Unit at IOCL, Barauni, Bihar</v>
      </c>
      <c r="C59" s="264" t="str">
        <f>CONCATENATE(1,C53,",",2,C54,",",3,C55,",",4,C56,",",5,C57,",",6,C58)</f>
        <v>1EE,RCD BENIPUR, DARBHANGA,2EE, RCD, SAMASTIPUR,3EE, RCD, SAMASTIPUR,4EE, RCD, SITAMARHI,5Technip Energies India Limited, NOIDA,6CB&amp;I India Private Limited (MCDERMOTT)</v>
      </c>
      <c r="D59" s="265">
        <f>SUM(D51:D58)</f>
        <v>17678.738299383545</v>
      </c>
      <c r="E59" s="265">
        <f t="shared" ref="E59:AB59" si="8">SUM(E51:E58)</f>
        <v>588.86339999999996</v>
      </c>
      <c r="F59" s="265">
        <f t="shared" si="8"/>
        <v>3267.9700000000003</v>
      </c>
      <c r="G59" s="265">
        <f t="shared" si="8"/>
        <v>0</v>
      </c>
      <c r="H59" s="265">
        <f t="shared" si="8"/>
        <v>761473.23099999991</v>
      </c>
      <c r="I59" s="265">
        <f t="shared" si="8"/>
        <v>0</v>
      </c>
      <c r="J59" s="265">
        <f t="shared" si="8"/>
        <v>0</v>
      </c>
      <c r="K59" s="265">
        <f t="shared" si="8"/>
        <v>46012.249000000003</v>
      </c>
      <c r="L59" s="265">
        <f t="shared" si="8"/>
        <v>0</v>
      </c>
      <c r="M59" s="265">
        <f t="shared" si="8"/>
        <v>26367.965</v>
      </c>
      <c r="N59" s="265">
        <f t="shared" si="8"/>
        <v>72380.213999999993</v>
      </c>
      <c r="O59" s="265">
        <f t="shared" si="8"/>
        <v>0</v>
      </c>
      <c r="P59" s="265">
        <f t="shared" si="8"/>
        <v>1802.85</v>
      </c>
      <c r="Q59" s="265">
        <f t="shared" si="8"/>
        <v>5554.5959999999995</v>
      </c>
      <c r="R59" s="265">
        <f t="shared" si="8"/>
        <v>198.22</v>
      </c>
      <c r="S59" s="265">
        <f t="shared" si="8"/>
        <v>7555.6659999999993</v>
      </c>
      <c r="T59" s="265">
        <f t="shared" si="8"/>
        <v>0</v>
      </c>
      <c r="U59" s="265">
        <f t="shared" si="8"/>
        <v>1209.5999999999999</v>
      </c>
      <c r="V59" s="265">
        <f t="shared" si="8"/>
        <v>1921.452</v>
      </c>
      <c r="W59" s="265">
        <f t="shared" si="8"/>
        <v>1416.83</v>
      </c>
      <c r="X59" s="265">
        <f t="shared" si="8"/>
        <v>3.02</v>
      </c>
      <c r="Y59" s="265">
        <f t="shared" si="8"/>
        <v>0</v>
      </c>
      <c r="Z59" s="265">
        <f t="shared" si="8"/>
        <v>0</v>
      </c>
      <c r="AA59" s="265">
        <f t="shared" si="8"/>
        <v>0</v>
      </c>
      <c r="AB59" s="265">
        <f t="shared" si="8"/>
        <v>0</v>
      </c>
      <c r="AC59" s="266" t="str">
        <f>CONCATENATE(AC53,",",AC54,",",AC55,",",AC56,",",AC57,",",AC58)</f>
        <v>04SBD/2020-21 dt 20.07.2020,08/EPC of 2020-21 dt. 24.12.2020,07/SBD of 2020-21 dt. 22.09.2020,02SBD/2021-22 DATED 24.06.2021,C100008901 DT. 19.06.2021 ammendment 3 dt. 16.03.2023 RA BILL 17  FINAL BILL,241222-SC-04/560515 DT. 12.11.2021
CHANGE ORDER-04 DT. 03.04.2024</v>
      </c>
      <c r="AD59" s="266"/>
    </row>
    <row r="60" spans="1:31" s="244" customFormat="1" ht="38" outlineLevel="1" x14ac:dyDescent="0.5">
      <c r="A60" s="238" t="s">
        <v>289</v>
      </c>
      <c r="B60" s="239" t="s">
        <v>183</v>
      </c>
      <c r="C60" s="239" t="s">
        <v>184</v>
      </c>
      <c r="D60" s="240">
        <f>1848.97+607.85</f>
        <v>2456.8200000000002</v>
      </c>
      <c r="E60" s="245"/>
      <c r="F60" s="240">
        <v>512.4</v>
      </c>
      <c r="G60" s="245"/>
      <c r="H60" s="240">
        <v>153569.22</v>
      </c>
      <c r="I60" s="245"/>
      <c r="J60" s="245"/>
      <c r="K60" s="245"/>
      <c r="L60" s="245"/>
      <c r="M60" s="245"/>
      <c r="N60" s="241">
        <f t="shared" ref="N60:N67" si="9">K60+L60+M60</f>
        <v>0</v>
      </c>
      <c r="O60" s="245"/>
      <c r="P60" s="245"/>
      <c r="Q60" s="245"/>
      <c r="R60" s="245"/>
      <c r="S60" s="241">
        <f t="shared" si="1"/>
        <v>0</v>
      </c>
      <c r="T60" s="245"/>
      <c r="U60" s="245"/>
      <c r="V60" s="245"/>
      <c r="W60" s="245"/>
      <c r="X60" s="245"/>
      <c r="Y60" s="245"/>
      <c r="Z60" s="245"/>
      <c r="AA60" s="245"/>
      <c r="AB60" s="245"/>
      <c r="AC60" s="238" t="s">
        <v>185</v>
      </c>
      <c r="AD60" s="267" t="s">
        <v>450</v>
      </c>
    </row>
    <row r="61" spans="1:31" s="244" customFormat="1" ht="38" outlineLevel="1" x14ac:dyDescent="0.5">
      <c r="A61" s="238" t="s">
        <v>289</v>
      </c>
      <c r="B61" s="239" t="s">
        <v>400</v>
      </c>
      <c r="C61" s="239" t="s">
        <v>401</v>
      </c>
      <c r="D61" s="240">
        <f>4150.72+207.4</f>
        <v>4358.12</v>
      </c>
      <c r="E61" s="241"/>
      <c r="F61" s="240">
        <v>1353.9690000000001</v>
      </c>
      <c r="G61" s="241"/>
      <c r="H61" s="240">
        <v>24268.01</v>
      </c>
      <c r="I61" s="241"/>
      <c r="J61" s="241"/>
      <c r="K61" s="241"/>
      <c r="L61" s="241"/>
      <c r="M61" s="241"/>
      <c r="N61" s="241">
        <f t="shared" si="9"/>
        <v>0</v>
      </c>
      <c r="O61" s="241"/>
      <c r="P61" s="241"/>
      <c r="Q61" s="241"/>
      <c r="R61" s="241"/>
      <c r="S61" s="241">
        <f t="shared" si="1"/>
        <v>0</v>
      </c>
      <c r="T61" s="241"/>
      <c r="U61" s="241"/>
      <c r="V61" s="241"/>
      <c r="W61" s="241"/>
      <c r="X61" s="241"/>
      <c r="Y61" s="241"/>
      <c r="Z61" s="241"/>
      <c r="AA61" s="241"/>
      <c r="AB61" s="241"/>
      <c r="AC61" s="238" t="s">
        <v>402</v>
      </c>
      <c r="AD61" s="267" t="s">
        <v>456</v>
      </c>
    </row>
    <row r="62" spans="1:31" s="244" customFormat="1" ht="38" outlineLevel="1" x14ac:dyDescent="0.5">
      <c r="A62" s="238" t="s">
        <v>289</v>
      </c>
      <c r="B62" s="239" t="s">
        <v>205</v>
      </c>
      <c r="C62" s="239" t="s">
        <v>206</v>
      </c>
      <c r="D62" s="240">
        <f>64.8+126</f>
        <v>190.8</v>
      </c>
      <c r="E62" s="241"/>
      <c r="F62" s="241"/>
      <c r="G62" s="241"/>
      <c r="H62" s="240">
        <f>186553.56+182439.58+2717.346</f>
        <v>371710.48600000003</v>
      </c>
      <c r="I62" s="241"/>
      <c r="J62" s="241"/>
      <c r="K62" s="240">
        <v>68802.671000000002</v>
      </c>
      <c r="L62" s="241"/>
      <c r="M62" s="240">
        <v>42824.684999999998</v>
      </c>
      <c r="N62" s="241">
        <f t="shared" si="9"/>
        <v>111627.356</v>
      </c>
      <c r="O62" s="241"/>
      <c r="P62" s="240">
        <v>3813.8319999999999</v>
      </c>
      <c r="Q62" s="240">
        <v>6127.94</v>
      </c>
      <c r="R62" s="241"/>
      <c r="S62" s="241">
        <f t="shared" si="1"/>
        <v>9941.771999999999</v>
      </c>
      <c r="T62" s="241"/>
      <c r="U62" s="241"/>
      <c r="V62" s="241"/>
      <c r="W62" s="241"/>
      <c r="X62" s="241"/>
      <c r="Y62" s="241"/>
      <c r="Z62" s="241"/>
      <c r="AA62" s="241"/>
      <c r="AB62" s="241"/>
      <c r="AC62" s="238" t="s">
        <v>439</v>
      </c>
      <c r="AD62" s="267" t="s">
        <v>441</v>
      </c>
    </row>
    <row r="63" spans="1:31" s="244" customFormat="1" ht="57.35" outlineLevel="1" x14ac:dyDescent="0.5">
      <c r="A63" s="238" t="s">
        <v>289</v>
      </c>
      <c r="B63" s="239" t="s">
        <v>210</v>
      </c>
      <c r="C63" s="239" t="s">
        <v>459</v>
      </c>
      <c r="D63" s="240">
        <v>35728.059000000001</v>
      </c>
      <c r="E63" s="241"/>
      <c r="F63" s="241"/>
      <c r="G63" s="241"/>
      <c r="H63" s="240">
        <v>1284228.041</v>
      </c>
      <c r="I63" s="240">
        <v>27890.68</v>
      </c>
      <c r="J63" s="241"/>
      <c r="K63" s="241"/>
      <c r="L63" s="241"/>
      <c r="M63" s="241"/>
      <c r="N63" s="241">
        <f t="shared" si="9"/>
        <v>0</v>
      </c>
      <c r="O63" s="241"/>
      <c r="P63" s="241"/>
      <c r="Q63" s="241"/>
      <c r="R63" s="241"/>
      <c r="S63" s="241">
        <f t="shared" si="1"/>
        <v>0</v>
      </c>
      <c r="T63" s="241"/>
      <c r="U63" s="240">
        <v>49716.66</v>
      </c>
      <c r="V63" s="241"/>
      <c r="W63" s="241"/>
      <c r="X63" s="241"/>
      <c r="Y63" s="241"/>
      <c r="Z63" s="241"/>
      <c r="AA63" s="241"/>
      <c r="AB63" s="241"/>
      <c r="AC63" s="238"/>
      <c r="AD63" s="267" t="s">
        <v>460</v>
      </c>
    </row>
    <row r="64" spans="1:31" s="244" customFormat="1" ht="25.35" outlineLevel="1" x14ac:dyDescent="0.5">
      <c r="A64" s="238" t="s">
        <v>289</v>
      </c>
      <c r="B64" s="239" t="s">
        <v>427</v>
      </c>
      <c r="C64" s="239" t="s">
        <v>179</v>
      </c>
      <c r="D64" s="240">
        <v>732.28</v>
      </c>
      <c r="E64" s="241"/>
      <c r="F64" s="241"/>
      <c r="G64" s="241"/>
      <c r="H64" s="240">
        <v>15162.38</v>
      </c>
      <c r="I64" s="241"/>
      <c r="J64" s="241"/>
      <c r="K64" s="241"/>
      <c r="L64" s="241"/>
      <c r="M64" s="241"/>
      <c r="N64" s="241"/>
      <c r="O64" s="241"/>
      <c r="P64" s="241"/>
      <c r="Q64" s="241"/>
      <c r="R64" s="241"/>
      <c r="S64" s="241"/>
      <c r="T64" s="241"/>
      <c r="U64" s="241"/>
      <c r="V64" s="241"/>
      <c r="W64" s="241"/>
      <c r="X64" s="241"/>
      <c r="Y64" s="241"/>
      <c r="Z64" s="241"/>
      <c r="AA64" s="241"/>
      <c r="AB64" s="241"/>
      <c r="AC64" s="238"/>
      <c r="AD64" s="267" t="s">
        <v>430</v>
      </c>
    </row>
    <row r="65" spans="1:32" s="244" customFormat="1" ht="25.35" outlineLevel="1" x14ac:dyDescent="0.5">
      <c r="A65" s="238" t="s">
        <v>289</v>
      </c>
      <c r="B65" s="239" t="s">
        <v>423</v>
      </c>
      <c r="C65" s="239" t="s">
        <v>179</v>
      </c>
      <c r="D65" s="241"/>
      <c r="E65" s="241"/>
      <c r="F65" s="241"/>
      <c r="G65" s="241"/>
      <c r="H65" s="240">
        <v>2437.23</v>
      </c>
      <c r="I65" s="241"/>
      <c r="J65" s="241"/>
      <c r="K65" s="241"/>
      <c r="L65" s="241"/>
      <c r="M65" s="241"/>
      <c r="N65" s="241"/>
      <c r="O65" s="241"/>
      <c r="P65" s="241"/>
      <c r="Q65" s="241"/>
      <c r="R65" s="268">
        <v>0.45</v>
      </c>
      <c r="S65" s="241">
        <f t="shared" si="1"/>
        <v>0.45</v>
      </c>
      <c r="T65" s="241"/>
      <c r="U65" s="241"/>
      <c r="V65" s="268">
        <v>318</v>
      </c>
      <c r="W65" s="241"/>
      <c r="X65" s="241"/>
      <c r="Y65" s="241"/>
      <c r="Z65" s="241"/>
      <c r="AA65" s="241"/>
      <c r="AB65" s="241"/>
      <c r="AC65" s="238"/>
      <c r="AD65" s="267"/>
    </row>
    <row r="66" spans="1:32" s="244" customFormat="1" outlineLevel="1" x14ac:dyDescent="0.5">
      <c r="A66" s="238"/>
      <c r="B66" s="239"/>
      <c r="C66" s="239"/>
      <c r="D66" s="241"/>
      <c r="E66" s="241"/>
      <c r="F66" s="241"/>
      <c r="G66" s="241"/>
      <c r="H66" s="241"/>
      <c r="I66" s="241"/>
      <c r="J66" s="241"/>
      <c r="K66" s="241"/>
      <c r="L66" s="241"/>
      <c r="M66" s="241"/>
      <c r="N66" s="241">
        <f t="shared" si="9"/>
        <v>0</v>
      </c>
      <c r="O66" s="241"/>
      <c r="P66" s="241"/>
      <c r="Q66" s="241"/>
      <c r="R66" s="241"/>
      <c r="S66" s="241">
        <f t="shared" si="1"/>
        <v>0</v>
      </c>
      <c r="T66" s="241"/>
      <c r="U66" s="241"/>
      <c r="V66" s="241"/>
      <c r="W66" s="241"/>
      <c r="X66" s="241"/>
      <c r="Y66" s="241"/>
      <c r="Z66" s="241"/>
      <c r="AA66" s="241"/>
      <c r="AB66" s="241"/>
      <c r="AC66" s="238"/>
      <c r="AD66" s="243"/>
    </row>
    <row r="67" spans="1:32" s="244" customFormat="1" outlineLevel="1" x14ac:dyDescent="0.5">
      <c r="A67" s="238"/>
      <c r="B67" s="239"/>
      <c r="C67" s="239"/>
      <c r="D67" s="241"/>
      <c r="E67" s="241"/>
      <c r="F67" s="241"/>
      <c r="G67" s="241"/>
      <c r="H67" s="241"/>
      <c r="I67" s="241"/>
      <c r="J67" s="241"/>
      <c r="K67" s="241"/>
      <c r="L67" s="241"/>
      <c r="M67" s="241"/>
      <c r="N67" s="241">
        <f t="shared" si="9"/>
        <v>0</v>
      </c>
      <c r="O67" s="241"/>
      <c r="P67" s="241"/>
      <c r="Q67" s="241"/>
      <c r="R67" s="241"/>
      <c r="S67" s="241">
        <f t="shared" si="1"/>
        <v>0</v>
      </c>
      <c r="T67" s="241"/>
      <c r="U67" s="241"/>
      <c r="V67" s="241"/>
      <c r="W67" s="241"/>
      <c r="X67" s="241"/>
      <c r="Y67" s="241"/>
      <c r="Z67" s="241"/>
      <c r="AA67" s="241"/>
      <c r="AB67" s="241"/>
      <c r="AC67" s="238"/>
      <c r="AD67" s="243"/>
    </row>
    <row r="68" spans="1:32" s="244" customFormat="1" ht="101.35" outlineLevel="1" x14ac:dyDescent="0.5">
      <c r="A68" s="263" t="s">
        <v>289</v>
      </c>
      <c r="B68" s="264" t="str">
        <f>CONCATENATE(1,B60,",",2,B61,",",3,B62,",",4,B63,",",5,B66,",",6,B67)</f>
        <v>1CONSTRUCTION OF CANAL AND ITS LINING WORK AND STRUCTURES FROM R.D. 806.40 TO R.D. 827.70 UNDER TIRHUT MAIN CANAL,2Lining work of Chausa Branch Canal from 0.000 Km to 12.924 Km &amp; Restoration of Kochas and Indaur Distributary under Ganga Pump Canal Division, Chausa Buxar,3Construction and upgradation of existing Road along Indo-Nepal Border Road Project from Kanhauli to Sursand (Length=49.150 km) Under Sitamarhi District for the year 2019-20,4Restoration Work of Saran Main Canal From K.m. 0.00 to K.M. 17.00,5,6</v>
      </c>
      <c r="C68" s="264" t="str">
        <f>CONCATENATE(1,C60,",",2,C61,",",3,C62,",",4,C63,",",5,C66,",",6,C67)</f>
        <v>1EE, Tirhut Canal Division, Motipur, Camp- Muzaffarpur,2EE, GANGA PUMP CANAL DIVISION, BUXAR,3EE, RCD, SITAMARHI,4EE, SMC DIVISION, GOPALGANJ,5,6</v>
      </c>
      <c r="D68" s="265">
        <f t="shared" ref="D68:AB68" si="10">SUM(D60:D67)</f>
        <v>43466.078999999998</v>
      </c>
      <c r="E68" s="265">
        <f t="shared" si="10"/>
        <v>0</v>
      </c>
      <c r="F68" s="265">
        <f t="shared" si="10"/>
        <v>1866.3690000000001</v>
      </c>
      <c r="G68" s="265">
        <f t="shared" si="10"/>
        <v>0</v>
      </c>
      <c r="H68" s="265">
        <f t="shared" si="10"/>
        <v>1851375.3669999999</v>
      </c>
      <c r="I68" s="265">
        <f t="shared" si="10"/>
        <v>27890.68</v>
      </c>
      <c r="J68" s="265">
        <f t="shared" si="10"/>
        <v>0</v>
      </c>
      <c r="K68" s="265">
        <f t="shared" si="10"/>
        <v>68802.671000000002</v>
      </c>
      <c r="L68" s="265">
        <f t="shared" si="10"/>
        <v>0</v>
      </c>
      <c r="M68" s="265">
        <f t="shared" si="10"/>
        <v>42824.684999999998</v>
      </c>
      <c r="N68" s="265">
        <f t="shared" si="10"/>
        <v>111627.356</v>
      </c>
      <c r="O68" s="265">
        <f t="shared" si="10"/>
        <v>0</v>
      </c>
      <c r="P68" s="265">
        <f t="shared" si="10"/>
        <v>3813.8319999999999</v>
      </c>
      <c r="Q68" s="265">
        <f t="shared" si="10"/>
        <v>6127.94</v>
      </c>
      <c r="R68" s="265">
        <f t="shared" si="10"/>
        <v>0.45</v>
      </c>
      <c r="S68" s="265">
        <f t="shared" si="10"/>
        <v>9942.2219999999998</v>
      </c>
      <c r="T68" s="265">
        <f t="shared" si="10"/>
        <v>0</v>
      </c>
      <c r="U68" s="265">
        <f t="shared" si="10"/>
        <v>49716.66</v>
      </c>
      <c r="V68" s="265">
        <f t="shared" si="10"/>
        <v>318</v>
      </c>
      <c r="W68" s="265">
        <f t="shared" si="10"/>
        <v>0</v>
      </c>
      <c r="X68" s="265">
        <f t="shared" si="10"/>
        <v>0</v>
      </c>
      <c r="Y68" s="265">
        <f t="shared" si="10"/>
        <v>0</v>
      </c>
      <c r="Z68" s="265">
        <f t="shared" si="10"/>
        <v>0</v>
      </c>
      <c r="AA68" s="265">
        <f t="shared" si="10"/>
        <v>0</v>
      </c>
      <c r="AB68" s="265">
        <f t="shared" si="10"/>
        <v>0</v>
      </c>
      <c r="AC68" s="266" t="str">
        <f>CONCATENATE(AC60,",",AC61,",",AC62,",",AC63,",",AC66,",",AC67)</f>
        <v>01/SBD/2017-18 DATED 22.11.2017,01/SBD/2017-18 DATED 4.11.2017,02SBD/2021-22 DATED 24.06.2021,,,</v>
      </c>
      <c r="AD68" s="266"/>
    </row>
    <row r="69" spans="1:32" ht="18.350000000000001" x14ac:dyDescent="0.65">
      <c r="A69" s="269" t="s">
        <v>461</v>
      </c>
      <c r="B69" s="269" t="s">
        <v>462</v>
      </c>
      <c r="C69" s="269"/>
      <c r="D69" s="270">
        <f t="shared" ref="D69:AB69" si="11">MAX(D5:D68)</f>
        <v>53917.179308757193</v>
      </c>
      <c r="E69" s="270">
        <f t="shared" si="11"/>
        <v>1655.6098999999999</v>
      </c>
      <c r="F69" s="270">
        <f t="shared" si="11"/>
        <v>3267.9700000000003</v>
      </c>
      <c r="G69" s="270">
        <f t="shared" si="11"/>
        <v>0</v>
      </c>
      <c r="H69" s="270">
        <f t="shared" si="11"/>
        <v>1851375.3669999999</v>
      </c>
      <c r="I69" s="270">
        <f t="shared" si="11"/>
        <v>31102.90164</v>
      </c>
      <c r="J69" s="270">
        <f t="shared" si="11"/>
        <v>6798.7259999999997</v>
      </c>
      <c r="K69" s="270">
        <f t="shared" si="11"/>
        <v>68802.671000000002</v>
      </c>
      <c r="L69" s="270">
        <f t="shared" si="11"/>
        <v>1498.309</v>
      </c>
      <c r="M69" s="270">
        <f t="shared" si="11"/>
        <v>42824.684999999998</v>
      </c>
      <c r="N69" s="270">
        <f t="shared" si="11"/>
        <v>111627.356</v>
      </c>
      <c r="O69" s="270">
        <f t="shared" si="11"/>
        <v>0</v>
      </c>
      <c r="P69" s="270">
        <f t="shared" si="11"/>
        <v>4495.67</v>
      </c>
      <c r="Q69" s="270">
        <f t="shared" si="11"/>
        <v>13083.971</v>
      </c>
      <c r="R69" s="270">
        <f t="shared" si="11"/>
        <v>10300.874</v>
      </c>
      <c r="S69" s="270">
        <f t="shared" si="11"/>
        <v>22457.022000000001</v>
      </c>
      <c r="T69" s="270">
        <f t="shared" si="11"/>
        <v>15.66</v>
      </c>
      <c r="U69" s="270">
        <f t="shared" si="11"/>
        <v>49716.66</v>
      </c>
      <c r="V69" s="270">
        <f t="shared" si="11"/>
        <v>10567.978548000001</v>
      </c>
      <c r="W69" s="270">
        <f t="shared" si="11"/>
        <v>38925.240000000005</v>
      </c>
      <c r="X69" s="270">
        <f t="shared" si="11"/>
        <v>3.02</v>
      </c>
      <c r="Y69" s="270">
        <f t="shared" si="11"/>
        <v>5857.5</v>
      </c>
      <c r="Z69" s="270">
        <f t="shared" si="11"/>
        <v>0</v>
      </c>
      <c r="AA69" s="270">
        <f t="shared" si="11"/>
        <v>0</v>
      </c>
      <c r="AB69" s="270">
        <f t="shared" si="11"/>
        <v>48597927</v>
      </c>
      <c r="AC69" s="271"/>
      <c r="AD69" s="235"/>
    </row>
    <row r="70" spans="1:32" x14ac:dyDescent="0.5">
      <c r="A70" s="272"/>
      <c r="B70" s="272"/>
      <c r="C70" s="272"/>
      <c r="D70" s="272"/>
      <c r="E70" s="272"/>
      <c r="F70" s="272"/>
      <c r="G70" s="272"/>
      <c r="H70" s="272"/>
      <c r="I70" s="272"/>
      <c r="J70" s="273"/>
      <c r="K70" s="272"/>
      <c r="L70" s="272"/>
      <c r="M70" s="272"/>
      <c r="N70" s="272"/>
      <c r="O70" s="272"/>
      <c r="P70" s="272"/>
      <c r="Q70" s="272"/>
      <c r="R70" s="272"/>
      <c r="S70" s="272"/>
      <c r="T70" s="272"/>
      <c r="U70" s="272"/>
      <c r="V70" s="272"/>
      <c r="W70" s="272"/>
      <c r="X70" s="272"/>
      <c r="Y70" s="272"/>
      <c r="Z70" s="272"/>
      <c r="AA70" s="272"/>
      <c r="AB70" s="272"/>
      <c r="AC70" s="272"/>
    </row>
    <row r="71" spans="1:32" ht="14.45" customHeight="1" x14ac:dyDescent="0.5">
      <c r="A71" s="272"/>
      <c r="B71" s="272" t="s">
        <v>463</v>
      </c>
      <c r="C71" s="272"/>
      <c r="D71" s="274">
        <f>D19+D36+D50+D59+D68</f>
        <v>207120.77596570217</v>
      </c>
      <c r="E71" s="274">
        <f t="shared" ref="E71:Y71" si="12">E19+E36+E50+E59+E68</f>
        <v>3585.9490999999998</v>
      </c>
      <c r="F71" s="274">
        <f t="shared" si="12"/>
        <v>11887.702000000001</v>
      </c>
      <c r="G71" s="274">
        <f t="shared" si="12"/>
        <v>0</v>
      </c>
      <c r="H71" s="274">
        <f t="shared" si="12"/>
        <v>5535600.6329600001</v>
      </c>
      <c r="I71" s="274">
        <f t="shared" si="12"/>
        <v>89336.020298799995</v>
      </c>
      <c r="J71" s="274">
        <f t="shared" si="12"/>
        <v>6815.3849999999993</v>
      </c>
      <c r="K71" s="274">
        <f t="shared" si="12"/>
        <v>261709.99732800003</v>
      </c>
      <c r="L71" s="274">
        <f t="shared" si="12"/>
        <v>3941.1719999999996</v>
      </c>
      <c r="M71" s="274">
        <f t="shared" si="12"/>
        <v>170422.21099999998</v>
      </c>
      <c r="N71" s="274">
        <f t="shared" si="12"/>
        <v>436073.38032799994</v>
      </c>
      <c r="O71" s="274">
        <f t="shared" si="12"/>
        <v>0</v>
      </c>
      <c r="P71" s="274">
        <f t="shared" si="12"/>
        <v>10112.352000000001</v>
      </c>
      <c r="Q71" s="274">
        <f t="shared" si="12"/>
        <v>39291.8675</v>
      </c>
      <c r="R71" s="274">
        <f t="shared" si="12"/>
        <v>25633.975000000002</v>
      </c>
      <c r="S71" s="274">
        <f t="shared" si="12"/>
        <v>75038.194499999983</v>
      </c>
      <c r="T71" s="274">
        <f t="shared" si="12"/>
        <v>15.66</v>
      </c>
      <c r="U71" s="274">
        <f t="shared" si="12"/>
        <v>51077.460000000006</v>
      </c>
      <c r="V71" s="274">
        <f t="shared" si="12"/>
        <v>19062.954028000004</v>
      </c>
      <c r="W71" s="274">
        <f t="shared" si="12"/>
        <v>64498.070000000007</v>
      </c>
      <c r="X71" s="274">
        <f t="shared" si="12"/>
        <v>3.02</v>
      </c>
      <c r="Y71" s="272" t="s">
        <v>464</v>
      </c>
      <c r="Z71" s="272" t="s">
        <v>465</v>
      </c>
      <c r="AA71" s="272" t="s">
        <v>466</v>
      </c>
      <c r="AB71" s="272" t="s">
        <v>467</v>
      </c>
      <c r="AC71" s="272" t="s">
        <v>468</v>
      </c>
      <c r="AD71" s="275" t="s">
        <v>469</v>
      </c>
      <c r="AE71" s="272" t="s">
        <v>470</v>
      </c>
      <c r="AF71" s="272" t="s">
        <v>471</v>
      </c>
    </row>
    <row r="72" spans="1:32" ht="14.45" customHeight="1" x14ac:dyDescent="0.5">
      <c r="A72" s="276"/>
      <c r="B72" s="276" t="s">
        <v>472</v>
      </c>
      <c r="C72" s="1"/>
      <c r="D72" s="277">
        <f>828.76+596.295+25.718+7002.73+677.641+1183.545+165.425+75.8+1078.607+514.559+432.001+277.093</f>
        <v>12858.173999999997</v>
      </c>
      <c r="E72" s="278">
        <f>1000+129+200</f>
        <v>1329</v>
      </c>
      <c r="F72" s="276"/>
      <c r="G72" s="276"/>
      <c r="H72" s="276">
        <f>17167+1643+1079+1041+8212+912+106+61.65+74+51+923+288</f>
        <v>31557.65</v>
      </c>
      <c r="I72" s="276">
        <v>643.399</v>
      </c>
      <c r="J72" s="276">
        <v>167.52699999999999</v>
      </c>
      <c r="K72" s="276"/>
      <c r="L72" s="276">
        <f>1905+357+1005+942</f>
        <v>4209</v>
      </c>
      <c r="M72" s="276"/>
      <c r="N72" s="279"/>
      <c r="O72" s="276"/>
      <c r="P72" s="276"/>
      <c r="Q72" s="276"/>
      <c r="R72" s="276"/>
      <c r="S72" s="276"/>
      <c r="T72" s="276"/>
      <c r="U72" s="276">
        <v>300</v>
      </c>
      <c r="V72" s="276"/>
      <c r="W72" s="241">
        <f>4873.231+1920.927+912.143+273.058+8224.467</f>
        <v>16203.826000000001</v>
      </c>
      <c r="X72" s="276">
        <f>2613.59</f>
        <v>2613.59</v>
      </c>
      <c r="Y72" s="276"/>
      <c r="Z72" s="1"/>
      <c r="AA72" s="276">
        <f>1884+20793+6388+2782+3770+1836+2832+2482+312+21+104+2618+1254+70+751.816+453</f>
        <v>48350.815999999999</v>
      </c>
      <c r="AB72" s="276">
        <f>16328.65+6884.414+3574.26+3253.61+2057.06+2986.03+187.266+85.437+376.284+1787.26+1025.834+138.57+453.193+771.441</f>
        <v>39909.309000000008</v>
      </c>
      <c r="AC72" s="272"/>
    </row>
    <row r="73" spans="1:32" ht="14.45" customHeight="1" x14ac:dyDescent="0.5">
      <c r="A73" s="276"/>
      <c r="B73" s="276" t="s">
        <v>473</v>
      </c>
      <c r="C73" s="276"/>
      <c r="D73" s="280">
        <f>836.3+7914.53+1038.27+189.82+1028.22+644.16+627.97+5965*0.15+2057*0.1+3075*0.2+5965*0.15+2067.73*0.1+64.61</f>
        <v>15160.852999999999</v>
      </c>
      <c r="E73" s="278">
        <v>16.12</v>
      </c>
      <c r="F73" s="276"/>
      <c r="G73" s="276"/>
      <c r="H73" s="276">
        <f>30117+8720+865+31137+1774+4277+6618</f>
        <v>83508</v>
      </c>
      <c r="I73" s="276">
        <f>218+1186+395</f>
        <v>1799</v>
      </c>
      <c r="J73" s="276"/>
      <c r="K73" s="276">
        <f>3131*0.075+1945*0.15+9500*0.23+5971*0.23+2068*0.23</f>
        <v>4560.5450000000001</v>
      </c>
      <c r="L73" s="276">
        <f>1574*0.2</f>
        <v>314.8</v>
      </c>
      <c r="M73" s="276">
        <f>3109*0.15</f>
        <v>466.34999999999997</v>
      </c>
      <c r="N73" s="276"/>
      <c r="O73" s="276"/>
      <c r="P73" s="276"/>
      <c r="Q73" s="276"/>
      <c r="R73" s="276">
        <v>725.4</v>
      </c>
      <c r="S73" s="276"/>
      <c r="T73" s="276"/>
      <c r="U73" s="276"/>
      <c r="V73" s="276"/>
      <c r="W73" s="276"/>
      <c r="X73" s="276"/>
      <c r="Y73" s="276"/>
      <c r="Z73" s="276"/>
      <c r="AA73" s="276">
        <f>27778+11578+5485+68+3280+322+424+288</f>
        <v>49223</v>
      </c>
      <c r="AB73" s="276">
        <f>21187+13674+18296</f>
        <v>53157</v>
      </c>
      <c r="AC73" s="272"/>
    </row>
    <row r="74" spans="1:32" ht="14.45" customHeight="1" x14ac:dyDescent="0.5">
      <c r="A74" s="276"/>
      <c r="B74" s="276" t="s">
        <v>474</v>
      </c>
      <c r="C74" s="276"/>
      <c r="D74" s="280"/>
      <c r="E74" s="281"/>
      <c r="F74" s="276"/>
      <c r="G74" s="276"/>
      <c r="H74" s="276"/>
      <c r="I74" s="276"/>
      <c r="J74" s="276"/>
      <c r="K74" s="276"/>
      <c r="L74" s="276"/>
      <c r="M74" s="276"/>
      <c r="N74" s="276"/>
      <c r="O74" s="276"/>
      <c r="P74" s="276"/>
      <c r="Q74" s="276"/>
      <c r="R74" s="276"/>
      <c r="S74" s="276"/>
      <c r="T74" s="276"/>
      <c r="U74" s="276"/>
      <c r="V74" s="276"/>
      <c r="W74" s="276"/>
      <c r="X74" s="276">
        <f>1351+68.5</f>
        <v>1419.5</v>
      </c>
      <c r="Y74" s="276">
        <f>1460+274+267</f>
        <v>2001</v>
      </c>
      <c r="Z74" s="276">
        <f>37.57+1.42+76.5</f>
        <v>115.49000000000001</v>
      </c>
      <c r="AA74" s="276">
        <f>74078+42393.5+3857+14822</f>
        <v>135150.5</v>
      </c>
      <c r="AB74" s="276">
        <f>109450+6644+26604</f>
        <v>142698</v>
      </c>
      <c r="AC74" s="272">
        <f>79+27.3</f>
        <v>106.3</v>
      </c>
      <c r="AD74" s="11">
        <f>1109+146.42+4.2+176</f>
        <v>1435.6200000000001</v>
      </c>
      <c r="AE74" t="s">
        <v>475</v>
      </c>
      <c r="AF74">
        <v>254.4</v>
      </c>
    </row>
    <row r="75" spans="1:32" ht="14.45" customHeight="1" x14ac:dyDescent="0.5">
      <c r="A75" s="276"/>
      <c r="B75" s="276" t="s">
        <v>476</v>
      </c>
      <c r="C75" s="276"/>
      <c r="D75" s="280">
        <v>1060.71</v>
      </c>
      <c r="E75" s="278">
        <v>676</v>
      </c>
      <c r="F75" s="276"/>
      <c r="G75" s="276"/>
      <c r="H75" s="276">
        <v>4394</v>
      </c>
      <c r="I75" s="276"/>
      <c r="J75" s="276"/>
      <c r="K75" s="276"/>
      <c r="L75" s="276"/>
      <c r="M75" s="276"/>
      <c r="N75" s="276"/>
      <c r="O75" s="276"/>
      <c r="P75" s="276"/>
      <c r="Q75" s="276"/>
      <c r="R75" s="276"/>
      <c r="S75" s="276"/>
      <c r="T75" s="276"/>
      <c r="U75" s="276"/>
      <c r="V75" s="276"/>
      <c r="W75" s="276"/>
      <c r="X75" s="276"/>
      <c r="Y75" s="276"/>
      <c r="Z75" s="276"/>
      <c r="AA75" s="276"/>
      <c r="AB75" s="276"/>
      <c r="AC75" s="272"/>
    </row>
    <row r="76" spans="1:32" ht="14.45" customHeight="1" x14ac:dyDescent="0.5">
      <c r="A76" s="276"/>
      <c r="B76" s="276"/>
      <c r="C76" s="276"/>
      <c r="D76" s="282">
        <f>SUM(D72:D75)</f>
        <v>29079.736999999994</v>
      </c>
      <c r="E76" s="282">
        <f>SUM(E72:E75)</f>
        <v>2021.12</v>
      </c>
      <c r="F76" s="282">
        <f t="shared" ref="F76:G76" si="13">SUM(F72:F75)</f>
        <v>0</v>
      </c>
      <c r="G76" s="282">
        <f t="shared" si="13"/>
        <v>0</v>
      </c>
      <c r="H76" s="282">
        <f>SUM(H72:H75)</f>
        <v>119459.65</v>
      </c>
      <c r="I76" s="282">
        <f>SUM(I72:I75)</f>
        <v>2442.3989999999999</v>
      </c>
      <c r="J76" s="282">
        <f>SUM(J72:J75)</f>
        <v>167.52699999999999</v>
      </c>
      <c r="K76" s="282">
        <f>SUM(K72:K75)</f>
        <v>4560.5450000000001</v>
      </c>
      <c r="L76" s="282">
        <f>SUM(L72:L75)</f>
        <v>4523.8</v>
      </c>
      <c r="M76" s="282">
        <f>SUM(M72:M75)</f>
        <v>466.34999999999997</v>
      </c>
      <c r="N76" s="282">
        <f t="shared" ref="N76:AD76" si="14">SUM(N72:N75)</f>
        <v>0</v>
      </c>
      <c r="O76" s="282">
        <f t="shared" si="14"/>
        <v>0</v>
      </c>
      <c r="P76" s="282">
        <f t="shared" si="14"/>
        <v>0</v>
      </c>
      <c r="Q76" s="282">
        <f t="shared" si="14"/>
        <v>0</v>
      </c>
      <c r="R76" s="282">
        <f t="shared" si="14"/>
        <v>725.4</v>
      </c>
      <c r="S76" s="282">
        <f t="shared" si="14"/>
        <v>0</v>
      </c>
      <c r="T76" s="282">
        <f t="shared" si="14"/>
        <v>0</v>
      </c>
      <c r="U76" s="282">
        <f t="shared" si="14"/>
        <v>300</v>
      </c>
      <c r="V76" s="282">
        <f t="shared" si="14"/>
        <v>0</v>
      </c>
      <c r="W76" s="282">
        <f t="shared" si="14"/>
        <v>16203.826000000001</v>
      </c>
      <c r="X76" s="282">
        <f t="shared" si="14"/>
        <v>4033.09</v>
      </c>
      <c r="Y76" s="282">
        <f t="shared" si="14"/>
        <v>2001</v>
      </c>
      <c r="Z76" s="282">
        <f t="shared" si="14"/>
        <v>115.49000000000001</v>
      </c>
      <c r="AA76" s="282">
        <f t="shared" si="14"/>
        <v>232724.31599999999</v>
      </c>
      <c r="AB76" s="282">
        <f t="shared" si="14"/>
        <v>235764.30900000001</v>
      </c>
      <c r="AC76" s="282">
        <f t="shared" si="14"/>
        <v>106.3</v>
      </c>
      <c r="AD76" s="282">
        <f t="shared" si="14"/>
        <v>1435.6200000000001</v>
      </c>
    </row>
    <row r="77" spans="1:32" s="27" customFormat="1" x14ac:dyDescent="0.5">
      <c r="A77" s="283"/>
      <c r="B77" s="283"/>
      <c r="C77" s="283"/>
      <c r="D77" s="284">
        <f>D71+D76</f>
        <v>236200.51296570216</v>
      </c>
      <c r="E77" s="284">
        <f>E71+E76</f>
        <v>5607.0690999999997</v>
      </c>
      <c r="F77" s="283"/>
      <c r="G77" s="283"/>
      <c r="H77" s="284">
        <f>H71+H76</f>
        <v>5655060.2829600004</v>
      </c>
      <c r="I77" s="284">
        <f t="shared" ref="I77:Y77" si="15">I71+I76</f>
        <v>91778.4192988</v>
      </c>
      <c r="J77" s="284">
        <f t="shared" si="15"/>
        <v>6982.9119999999994</v>
      </c>
      <c r="K77" s="284">
        <f t="shared" si="15"/>
        <v>266270.54232800001</v>
      </c>
      <c r="L77" s="284">
        <f t="shared" si="15"/>
        <v>8464.9719999999998</v>
      </c>
      <c r="M77" s="284">
        <f t="shared" si="15"/>
        <v>170888.56099999999</v>
      </c>
      <c r="N77" s="284">
        <f t="shared" si="15"/>
        <v>436073.38032799994</v>
      </c>
      <c r="O77" s="284">
        <f t="shared" si="15"/>
        <v>0</v>
      </c>
      <c r="P77" s="284">
        <f t="shared" si="15"/>
        <v>10112.352000000001</v>
      </c>
      <c r="Q77" s="284">
        <f t="shared" si="15"/>
        <v>39291.8675</v>
      </c>
      <c r="R77" s="284">
        <f t="shared" si="15"/>
        <v>26359.375000000004</v>
      </c>
      <c r="S77" s="284">
        <f t="shared" si="15"/>
        <v>75038.194499999983</v>
      </c>
      <c r="T77" s="284">
        <f t="shared" si="15"/>
        <v>15.66</v>
      </c>
      <c r="U77" s="284">
        <f t="shared" si="15"/>
        <v>51377.460000000006</v>
      </c>
      <c r="V77" s="284">
        <f t="shared" si="15"/>
        <v>19062.954028000004</v>
      </c>
      <c r="W77" s="284">
        <f t="shared" si="15"/>
        <v>80701.896000000008</v>
      </c>
      <c r="X77" s="284">
        <f t="shared" si="15"/>
        <v>4036.11</v>
      </c>
      <c r="Y77" s="284" t="e">
        <f t="shared" si="15"/>
        <v>#VALUE!</v>
      </c>
      <c r="Z77" s="283"/>
      <c r="AA77" s="283"/>
      <c r="AB77" s="283"/>
      <c r="AC77" s="283"/>
      <c r="AD77" s="17"/>
    </row>
    <row r="78" spans="1:32" s="27" customFormat="1" x14ac:dyDescent="0.5">
      <c r="A78" s="283"/>
      <c r="B78" s="283"/>
      <c r="C78" s="283"/>
      <c r="D78" s="285">
        <f>D69/8</f>
        <v>6739.6474135946492</v>
      </c>
      <c r="E78" s="285">
        <f>E69/8</f>
        <v>206.95123749999999</v>
      </c>
      <c r="F78" s="283"/>
      <c r="G78" s="283"/>
      <c r="H78" s="285">
        <f>H69/8</f>
        <v>231421.92087499998</v>
      </c>
      <c r="I78" s="283"/>
      <c r="J78" s="283"/>
      <c r="K78" s="283"/>
      <c r="L78" s="283"/>
      <c r="M78" s="283"/>
      <c r="N78" s="285">
        <f>N69/8</f>
        <v>13953.4195</v>
      </c>
      <c r="O78" s="285">
        <f t="shared" ref="O78:Y78" si="16">O69/8</f>
        <v>0</v>
      </c>
      <c r="P78" s="285">
        <f t="shared" si="16"/>
        <v>561.95875000000001</v>
      </c>
      <c r="Q78" s="285">
        <f t="shared" si="16"/>
        <v>1635.4963749999999</v>
      </c>
      <c r="R78" s="285">
        <f t="shared" si="16"/>
        <v>1287.60925</v>
      </c>
      <c r="S78" s="285">
        <f t="shared" si="16"/>
        <v>2807.1277500000001</v>
      </c>
      <c r="T78" s="285">
        <f t="shared" si="16"/>
        <v>1.9575</v>
      </c>
      <c r="U78" s="285">
        <f t="shared" si="16"/>
        <v>6214.5825000000004</v>
      </c>
      <c r="V78" s="285">
        <f t="shared" si="16"/>
        <v>1320.9973185000001</v>
      </c>
      <c r="W78" s="285">
        <f t="shared" si="16"/>
        <v>4865.6550000000007</v>
      </c>
      <c r="X78" s="285">
        <f t="shared" si="16"/>
        <v>0.3775</v>
      </c>
      <c r="Y78" s="285">
        <f t="shared" si="16"/>
        <v>732.1875</v>
      </c>
      <c r="Z78" s="283"/>
      <c r="AA78" s="283">
        <f>AA74/1.5</f>
        <v>90100.333333333328</v>
      </c>
      <c r="AB78" s="283">
        <f>AB74/1.5</f>
        <v>95132</v>
      </c>
      <c r="AC78" s="283"/>
      <c r="AD78" s="17"/>
    </row>
    <row r="79" spans="1:32" x14ac:dyDescent="0.5">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c r="AA79" s="272">
        <f>AA78/15</f>
        <v>6006.6888888888889</v>
      </c>
      <c r="AB79" s="272">
        <f>AB78/15</f>
        <v>6342.1333333333332</v>
      </c>
      <c r="AC79" s="272"/>
    </row>
    <row r="80" spans="1:32" x14ac:dyDescent="0.5">
      <c r="A80" s="272"/>
      <c r="B80" s="272"/>
      <c r="C80" s="272"/>
      <c r="D80" s="272"/>
      <c r="E80" s="272"/>
      <c r="F80" s="272"/>
      <c r="G80" s="272"/>
      <c r="H80" s="272"/>
      <c r="I80" s="272"/>
      <c r="J80" s="272"/>
      <c r="K80" s="272"/>
      <c r="L80" s="272"/>
      <c r="M80" s="272"/>
      <c r="N80" s="272"/>
      <c r="O80" s="272"/>
      <c r="P80" s="272"/>
      <c r="Q80" s="272"/>
      <c r="R80" s="272"/>
      <c r="S80" s="272"/>
      <c r="T80" s="272"/>
      <c r="U80" s="272"/>
      <c r="V80" s="272"/>
      <c r="X80" s="272"/>
      <c r="Y80" s="272"/>
      <c r="Z80" s="272"/>
      <c r="AA80" s="272"/>
      <c r="AB80" s="272"/>
      <c r="AC80" s="272"/>
    </row>
  </sheetData>
  <mergeCells count="7">
    <mergeCell ref="A1:AD1"/>
    <mergeCell ref="A2:C2"/>
    <mergeCell ref="D2:AD2"/>
    <mergeCell ref="A3:A4"/>
    <mergeCell ref="B3:B4"/>
    <mergeCell ref="C3:C4"/>
    <mergeCell ref="D3:S3"/>
  </mergeCells>
  <hyperlinks>
    <hyperlink ref="AE51" r:id="rId1" xr:uid="{978533C3-893A-4113-B119-5DBABC65C057}"/>
    <hyperlink ref="AD63" r:id="rId2" xr:uid="{0612106A-BE7E-4D06-B8F6-4263258EC98D}"/>
    <hyperlink ref="AD62" r:id="rId3" xr:uid="{A3EAABE9-2894-4E36-9546-4E610647DA7D}"/>
    <hyperlink ref="AE56" r:id="rId4" xr:uid="{DF0DFC94-10A9-40F5-80C5-8713EB48D760}"/>
    <hyperlink ref="AE45" r:id="rId5" xr:uid="{0D7881BF-63EF-4228-9323-294E6C57483C}"/>
    <hyperlink ref="AE31" r:id="rId6" xr:uid="{FC9F6B6E-B81F-478B-BAB0-11432E4653B5}"/>
    <hyperlink ref="AD61" r:id="rId7" xr:uid="{7BF93C69-8DAB-4E49-B76A-8A8A20585085}"/>
    <hyperlink ref="AD60" r:id="rId8" xr:uid="{C1D39D1A-A23E-4FDC-9251-59CC98FC4B7D}"/>
    <hyperlink ref="AE52" r:id="rId9" xr:uid="{78800426-5213-4ADB-8EB8-5013F44DF8F6}"/>
    <hyperlink ref="AE38" r:id="rId10" xr:uid="{EE4246EA-4181-479A-A414-3621502A2DF7}"/>
  </hyperlinks>
  <printOptions horizontalCentered="1"/>
  <pageMargins left="0.31496062992125984" right="0.31496062992125984" top="0.35433070866141736" bottom="0.35433070866141736" header="0" footer="0.31496062992125984"/>
  <pageSetup paperSize="9" scale="66" orientation="landscape" r:id="rId11"/>
  <legacy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EA097-113A-4C6C-869C-3CF1A5CDACF0}">
  <dimension ref="A1:B29"/>
  <sheetViews>
    <sheetView topLeftCell="A9" workbookViewId="0">
      <selection activeCell="B21" sqref="B21"/>
    </sheetView>
  </sheetViews>
  <sheetFormatPr defaultRowHeight="14.35" x14ac:dyDescent="0.5"/>
  <cols>
    <col min="2" max="2" width="134.3515625" customWidth="1"/>
  </cols>
  <sheetData>
    <row r="1" spans="1:2" ht="28" x14ac:dyDescent="0.5">
      <c r="A1" s="165">
        <v>1</v>
      </c>
      <c r="B1" s="166" t="s">
        <v>355</v>
      </c>
    </row>
    <row r="2" spans="1:2" x14ac:dyDescent="0.5">
      <c r="A2" s="165">
        <v>2</v>
      </c>
      <c r="B2" s="286" t="s">
        <v>356</v>
      </c>
    </row>
    <row r="3" spans="1:2" ht="28.7" x14ac:dyDescent="0.5">
      <c r="A3" s="165">
        <v>3</v>
      </c>
      <c r="B3" s="165" t="s">
        <v>357</v>
      </c>
    </row>
    <row r="4" spans="1:2" x14ac:dyDescent="0.5">
      <c r="A4" s="165">
        <v>4</v>
      </c>
      <c r="B4" t="s">
        <v>358</v>
      </c>
    </row>
    <row r="5" spans="1:2" x14ac:dyDescent="0.5">
      <c r="B5" s="60" t="s">
        <v>359</v>
      </c>
    </row>
    <row r="6" spans="1:2" x14ac:dyDescent="0.5">
      <c r="B6" t="s">
        <v>360</v>
      </c>
    </row>
    <row r="7" spans="1:2" x14ac:dyDescent="0.5">
      <c r="B7" t="s">
        <v>361</v>
      </c>
    </row>
    <row r="8" spans="1:2" ht="28.7" x14ac:dyDescent="0.5">
      <c r="B8" s="165" t="s">
        <v>362</v>
      </c>
    </row>
    <row r="9" spans="1:2" x14ac:dyDescent="0.5">
      <c r="A9" s="165"/>
      <c r="B9" t="s">
        <v>363</v>
      </c>
    </row>
    <row r="10" spans="1:2" x14ac:dyDescent="0.5">
      <c r="A10" s="165"/>
      <c r="B10" t="s">
        <v>364</v>
      </c>
    </row>
    <row r="11" spans="1:2" x14ac:dyDescent="0.5">
      <c r="A11" s="165"/>
      <c r="B11" t="s">
        <v>478</v>
      </c>
    </row>
    <row r="12" spans="1:2" x14ac:dyDescent="0.5">
      <c r="A12" s="165"/>
      <c r="B12" t="s">
        <v>477</v>
      </c>
    </row>
    <row r="13" spans="1:2" x14ac:dyDescent="0.5">
      <c r="A13" s="165"/>
      <c r="B13" t="s">
        <v>479</v>
      </c>
    </row>
    <row r="14" spans="1:2" x14ac:dyDescent="0.5">
      <c r="A14" s="165"/>
      <c r="B14" t="s">
        <v>480</v>
      </c>
    </row>
    <row r="15" spans="1:2" x14ac:dyDescent="0.5">
      <c r="A15" s="165"/>
      <c r="B15" t="s">
        <v>528</v>
      </c>
    </row>
    <row r="16" spans="1:2" x14ac:dyDescent="0.5">
      <c r="A16" s="294" t="s">
        <v>530</v>
      </c>
      <c r="B16" s="286" t="s">
        <v>529</v>
      </c>
    </row>
    <row r="17" spans="1:2" x14ac:dyDescent="0.5">
      <c r="A17" s="295">
        <v>2001</v>
      </c>
      <c r="B17" s="296" t="s">
        <v>546</v>
      </c>
    </row>
    <row r="18" spans="1:2" x14ac:dyDescent="0.5">
      <c r="A18" s="295">
        <v>2007</v>
      </c>
      <c r="B18" s="295" t="s">
        <v>532</v>
      </c>
    </row>
    <row r="19" spans="1:2" x14ac:dyDescent="0.5">
      <c r="A19" s="295">
        <v>2009</v>
      </c>
      <c r="B19" s="296" t="s">
        <v>531</v>
      </c>
    </row>
    <row r="20" spans="1:2" x14ac:dyDescent="0.5">
      <c r="A20" s="295">
        <v>2011</v>
      </c>
      <c r="B20" s="296" t="s">
        <v>539</v>
      </c>
    </row>
    <row r="21" spans="1:2" x14ac:dyDescent="0.5">
      <c r="A21" s="295">
        <v>2013</v>
      </c>
      <c r="B21" s="295" t="s">
        <v>540</v>
      </c>
    </row>
    <row r="22" spans="1:2" x14ac:dyDescent="0.5">
      <c r="A22" s="295">
        <v>2015</v>
      </c>
      <c r="B22" s="295" t="s">
        <v>533</v>
      </c>
    </row>
    <row r="23" spans="1:2" x14ac:dyDescent="0.5">
      <c r="A23" s="295">
        <v>2017</v>
      </c>
      <c r="B23" s="295" t="s">
        <v>535</v>
      </c>
    </row>
    <row r="24" spans="1:2" x14ac:dyDescent="0.5">
      <c r="A24" s="295">
        <v>2018</v>
      </c>
      <c r="B24" s="296" t="s">
        <v>537</v>
      </c>
    </row>
    <row r="25" spans="1:2" x14ac:dyDescent="0.5">
      <c r="A25" s="295">
        <v>2019</v>
      </c>
      <c r="B25" s="295" t="s">
        <v>534</v>
      </c>
    </row>
    <row r="26" spans="1:2" x14ac:dyDescent="0.5">
      <c r="A26" s="295">
        <v>2021</v>
      </c>
      <c r="B26" s="295" t="s">
        <v>536</v>
      </c>
    </row>
    <row r="27" spans="1:2" x14ac:dyDescent="0.5">
      <c r="A27" s="295">
        <v>2023</v>
      </c>
      <c r="B27" s="295" t="s">
        <v>541</v>
      </c>
    </row>
    <row r="28" spans="1:2" x14ac:dyDescent="0.5">
      <c r="A28" s="295">
        <v>2024</v>
      </c>
      <c r="B28" s="295" t="s">
        <v>538</v>
      </c>
    </row>
    <row r="29" spans="1:2" x14ac:dyDescent="0.5">
      <c r="A29" s="295">
        <v>2025</v>
      </c>
      <c r="B29" s="295" t="s">
        <v>570</v>
      </c>
    </row>
  </sheetData>
  <conditionalFormatting sqref="A17:B29">
    <cfRule type="colorScale" priority="2">
      <colorScale>
        <cfvo type="min"/>
        <cfvo type="percentile" val="50"/>
        <cfvo type="max"/>
        <color rgb="FFF8696B"/>
        <color rgb="FFFCFCFF"/>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4AD80-8407-4953-A010-65F74DEF8714}">
  <dimension ref="A1:F28"/>
  <sheetViews>
    <sheetView workbookViewId="0">
      <selection activeCell="F19" sqref="F19"/>
    </sheetView>
  </sheetViews>
  <sheetFormatPr defaultRowHeight="14.35" x14ac:dyDescent="0.5"/>
  <cols>
    <col min="1" max="1" width="36.46875" bestFit="1" customWidth="1"/>
    <col min="2" max="2" width="12.8203125" customWidth="1"/>
    <col min="3" max="3" width="6.76171875" bestFit="1" customWidth="1"/>
    <col min="4" max="4" width="12.234375" customWidth="1"/>
    <col min="5" max="5" width="14.1171875" customWidth="1"/>
  </cols>
  <sheetData>
    <row r="1" spans="1:6" s="60" customFormat="1" x14ac:dyDescent="0.5">
      <c r="A1" s="2" t="s">
        <v>568</v>
      </c>
      <c r="B1" s="2">
        <v>2021</v>
      </c>
      <c r="C1" s="2">
        <v>2022</v>
      </c>
      <c r="D1" s="2">
        <v>2023</v>
      </c>
      <c r="E1" s="2">
        <v>2024</v>
      </c>
      <c r="F1" s="60">
        <v>2025</v>
      </c>
    </row>
    <row r="2" spans="1:6" x14ac:dyDescent="0.5">
      <c r="A2" s="1" t="s">
        <v>547</v>
      </c>
      <c r="B2" s="1">
        <f>SUM([198]DHDT!F4:F7)</f>
        <v>51630</v>
      </c>
      <c r="C2" s="1">
        <f>SUM([198]DHDT!F8:F19)</f>
        <v>289264</v>
      </c>
      <c r="D2" s="1">
        <f>SUM([198]DHDT!F20:F31)</f>
        <v>364002</v>
      </c>
      <c r="E2" s="1">
        <f>SUM([198]DHDT!F32:F33)*6</f>
        <v>262692</v>
      </c>
      <c r="F2">
        <f>75*26*10*8</f>
        <v>156000</v>
      </c>
    </row>
    <row r="3" spans="1:6" x14ac:dyDescent="0.5">
      <c r="A3" s="1" t="s">
        <v>548</v>
      </c>
      <c r="B3" s="1">
        <f>SUM('[198]OHCU '!E12)</f>
        <v>159120</v>
      </c>
      <c r="C3" s="1">
        <f>'[198]OHCU '!E31</f>
        <v>443960</v>
      </c>
      <c r="D3" s="1">
        <f>'[198]OHCU '!K15</f>
        <v>539400</v>
      </c>
      <c r="E3" s="1">
        <f>45000*12</f>
        <v>540000</v>
      </c>
      <c r="F3" s="1">
        <f>80*26*10*10</f>
        <v>208000</v>
      </c>
    </row>
    <row r="4" spans="1:6" x14ac:dyDescent="0.5">
      <c r="A4" s="1" t="s">
        <v>549</v>
      </c>
      <c r="B4" s="1">
        <f>'[198]EPCM-23'!E9</f>
        <v>45640</v>
      </c>
      <c r="C4" s="1">
        <f>'[198]EPCM-23'!E25</f>
        <v>111128</v>
      </c>
      <c r="D4" s="1">
        <f>'[198]EPCM-23'!K15</f>
        <v>112688</v>
      </c>
      <c r="E4" s="1">
        <f>10000*12</f>
        <v>120000</v>
      </c>
      <c r="F4" s="1">
        <f>8000*12</f>
        <v>96000</v>
      </c>
    </row>
    <row r="5" spans="1:6" x14ac:dyDescent="0.5">
      <c r="A5" s="1" t="s">
        <v>550</v>
      </c>
      <c r="B5" s="1"/>
      <c r="C5" s="1"/>
      <c r="D5" s="1">
        <f>[198]Sheet7!B7+[198]Sheet7!C7</f>
        <v>276100</v>
      </c>
      <c r="E5" s="297">
        <f>1171070-276100</f>
        <v>894970</v>
      </c>
      <c r="F5" s="298">
        <f>1727390-E5-D5</f>
        <v>556320</v>
      </c>
    </row>
    <row r="6" spans="1:6" x14ac:dyDescent="0.5">
      <c r="A6" s="1"/>
      <c r="B6" s="2">
        <f>SUM(B2:B5)</f>
        <v>256390</v>
      </c>
      <c r="C6" s="2">
        <f t="shared" ref="C6:F6" si="0">SUM(C2:C5)</f>
        <v>844352</v>
      </c>
      <c r="D6" s="2">
        <f t="shared" si="0"/>
        <v>1292190</v>
      </c>
      <c r="E6" s="2">
        <f t="shared" si="0"/>
        <v>1817662</v>
      </c>
      <c r="F6" s="2">
        <f t="shared" si="0"/>
        <v>1016320</v>
      </c>
    </row>
    <row r="7" spans="1:6" x14ac:dyDescent="0.5">
      <c r="A7" s="2" t="s">
        <v>569</v>
      </c>
      <c r="B7" s="52">
        <f>B6/10^6</f>
        <v>0.25639000000000001</v>
      </c>
      <c r="C7" s="52">
        <f t="shared" ref="C7:F7" si="1">C6/10^6</f>
        <v>0.84435199999999999</v>
      </c>
      <c r="D7" s="52">
        <f t="shared" si="1"/>
        <v>1.2921899999999999</v>
      </c>
      <c r="E7" s="52">
        <f t="shared" si="1"/>
        <v>1.8176620000000001</v>
      </c>
      <c r="F7" s="52">
        <f t="shared" si="1"/>
        <v>1.0163199999999999</v>
      </c>
    </row>
    <row r="8" spans="1:6" x14ac:dyDescent="0.5">
      <c r="A8" s="2" t="s">
        <v>567</v>
      </c>
      <c r="B8" s="306">
        <f>B7</f>
        <v>0.25639000000000001</v>
      </c>
      <c r="C8" s="306">
        <f>C7+B8</f>
        <v>1.1007419999999999</v>
      </c>
      <c r="D8" s="306">
        <f t="shared" ref="D8:F8" si="2">D7+C8</f>
        <v>2.3929320000000001</v>
      </c>
      <c r="E8" s="306">
        <f t="shared" si="2"/>
        <v>4.2105940000000004</v>
      </c>
      <c r="F8" s="306">
        <f t="shared" si="2"/>
        <v>5.2269140000000007</v>
      </c>
    </row>
    <row r="9" spans="1:6" x14ac:dyDescent="0.5">
      <c r="A9" s="299" t="s">
        <v>551</v>
      </c>
      <c r="B9" s="1"/>
      <c r="C9" s="1"/>
      <c r="D9" s="1"/>
      <c r="E9" s="1"/>
      <c r="F9" s="1"/>
    </row>
    <row r="10" spans="1:6" x14ac:dyDescent="0.5">
      <c r="A10" s="299" t="s">
        <v>552</v>
      </c>
      <c r="B10" s="1"/>
      <c r="C10" s="1"/>
      <c r="D10" s="1"/>
      <c r="E10" s="1"/>
      <c r="F10" s="1"/>
    </row>
    <row r="11" spans="1:6" x14ac:dyDescent="0.5">
      <c r="A11" s="300" t="s">
        <v>553</v>
      </c>
      <c r="B11" s="1"/>
      <c r="C11" s="1"/>
      <c r="D11" s="1"/>
      <c r="E11" s="1"/>
      <c r="F11" s="1"/>
    </row>
    <row r="12" spans="1:6" x14ac:dyDescent="0.5">
      <c r="A12" s="300" t="s">
        <v>554</v>
      </c>
      <c r="B12" s="1"/>
      <c r="C12" s="1"/>
      <c r="D12" s="1"/>
      <c r="E12" s="1"/>
      <c r="F12" s="1"/>
    </row>
    <row r="13" spans="1:6" x14ac:dyDescent="0.5">
      <c r="A13" s="299" t="s">
        <v>555</v>
      </c>
      <c r="B13" s="1"/>
      <c r="C13" s="1"/>
      <c r="D13" s="1"/>
      <c r="E13" s="1"/>
      <c r="F13" s="1"/>
    </row>
    <row r="14" spans="1:6" x14ac:dyDescent="0.5">
      <c r="A14" s="299" t="s">
        <v>556</v>
      </c>
      <c r="B14" s="1"/>
      <c r="C14" s="1"/>
      <c r="D14" s="1"/>
      <c r="E14" s="1"/>
      <c r="F14" s="1"/>
    </row>
    <row r="15" spans="1:6" x14ac:dyDescent="0.5">
      <c r="A15" s="299"/>
      <c r="B15" s="1"/>
      <c r="C15" s="1"/>
      <c r="D15" s="1"/>
      <c r="E15" s="1"/>
      <c r="F15" s="1"/>
    </row>
    <row r="16" spans="1:6" x14ac:dyDescent="0.5">
      <c r="A16" s="299" t="s">
        <v>557</v>
      </c>
      <c r="B16" s="1"/>
      <c r="C16" s="1"/>
      <c r="D16" s="1"/>
      <c r="E16" s="1"/>
      <c r="F16" s="1"/>
    </row>
    <row r="17" spans="1:6" x14ac:dyDescent="0.5">
      <c r="A17" s="299" t="s">
        <v>558</v>
      </c>
      <c r="B17" s="1"/>
      <c r="C17" s="1"/>
      <c r="D17" s="1"/>
      <c r="E17" s="1"/>
      <c r="F17" s="1"/>
    </row>
    <row r="19" spans="1:6" x14ac:dyDescent="0.5">
      <c r="A19" s="301" t="s">
        <v>559</v>
      </c>
    </row>
    <row r="20" spans="1:6" x14ac:dyDescent="0.5">
      <c r="A20" s="302" t="s">
        <v>560</v>
      </c>
    </row>
    <row r="21" spans="1:6" x14ac:dyDescent="0.5">
      <c r="A21" s="303" t="s">
        <v>561</v>
      </c>
    </row>
    <row r="22" spans="1:6" x14ac:dyDescent="0.5">
      <c r="A22" s="304"/>
    </row>
    <row r="23" spans="1:6" x14ac:dyDescent="0.5">
      <c r="A23" s="301" t="s">
        <v>562</v>
      </c>
    </row>
    <row r="24" spans="1:6" x14ac:dyDescent="0.5">
      <c r="A24" s="302" t="s">
        <v>563</v>
      </c>
    </row>
    <row r="25" spans="1:6" x14ac:dyDescent="0.5">
      <c r="A25" s="303" t="s">
        <v>564</v>
      </c>
    </row>
    <row r="26" spans="1:6" x14ac:dyDescent="0.5">
      <c r="A26" s="304"/>
    </row>
    <row r="27" spans="1:6" x14ac:dyDescent="0.5">
      <c r="A27" s="305" t="s">
        <v>565</v>
      </c>
    </row>
    <row r="28" spans="1:6" x14ac:dyDescent="0.5">
      <c r="A28" s="305" t="s">
        <v>566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QUALIFICATION INFORMATION</vt:lpstr>
      <vt:lpstr>EPC</vt:lpstr>
      <vt:lpstr>TECHNICAL</vt:lpstr>
      <vt:lpstr>peak qty</vt:lpstr>
      <vt:lpstr>FINANCIAL</vt:lpstr>
      <vt:lpstr>BLPL QTY 25122025</vt:lpstr>
      <vt:lpstr>WEBSITE</vt:lpstr>
      <vt:lpstr>HSE</vt:lpstr>
      <vt:lpstr>'QUALIFICATION 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Kumar</dc:creator>
  <cp:lastModifiedBy>Amit Kumar</cp:lastModifiedBy>
  <dcterms:created xsi:type="dcterms:W3CDTF">2024-11-19T05:15:06Z</dcterms:created>
  <dcterms:modified xsi:type="dcterms:W3CDTF">2025-12-30T15:11:22Z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atl_Rate" linkTarget="Prop_Matl_Rate">
    <vt:lpwstr>#REF!</vt:lpwstr>
  </property>
  <property fmtid="{D5CDD505-2E9C-101B-9397-08002B2CF9AE}" pid="4" name="MD" linkTarget="Prop_MD">
    <vt:lpwstr>#REF!</vt:lpwstr>
  </property>
  <property fmtid="{D5CDD505-2E9C-101B-9397-08002B2CF9AE}" pid="5" name="MD_Rate" linkTarget="Prop_MD_Rate">
    <vt:lpwstr>#REF!</vt:lpwstr>
  </property>
  <property fmtid="{D5CDD505-2E9C-101B-9397-08002B2CF9AE}" pid="6" name="Total_Matl" linkTarget="Prop_Total_Matl">
    <vt:lpwstr>#REF!</vt:lpwstr>
  </property>
  <property fmtid="{D5CDD505-2E9C-101B-9397-08002B2CF9AE}" pid="7" name="Total_MD" linkTarget="Prop_Total_MD">
    <vt:lpwstr>#REF!</vt:lpwstr>
  </property>
</Properties>
</file>